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940"/>
  </bookViews>
  <sheets>
    <sheet name="Sheet1" sheetId="1" r:id="rId1"/>
    <sheet name="Sheet1 (2)" sheetId="4" r:id="rId2"/>
    <sheet name="Sheet3" sheetId="5" r:id="rId3"/>
    <sheet name="Sheet4" sheetId="7" r:id="rId4"/>
    <sheet name="Sheet5" sheetId="9" r:id="rId5"/>
  </sheets>
  <definedNames>
    <definedName name="_xlnm._FilterDatabase" localSheetId="0" hidden="1">Sheet1!$A$1:$P$87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<sst xmlns="http://schemas.openxmlformats.org/spreadsheetml/2006/main" count="999" uniqueCount="206">
  <si>
    <t>source_system</t>
  </si>
  <si>
    <t>meta_index</t>
  </si>
  <si>
    <t>faq_index</t>
  </si>
  <si>
    <t>content_index</t>
  </si>
  <si>
    <t>catalog_index</t>
  </si>
  <si>
    <t>meta_doc_count</t>
  </si>
  <si>
    <t>faq_doc_count</t>
  </si>
  <si>
    <t>content_doc_count</t>
  </si>
  <si>
    <t>catalog_doc_count</t>
  </si>
  <si>
    <t>磁盘</t>
  </si>
  <si>
    <t>预留50%(主分片)</t>
  </si>
  <si>
    <t>堆内存</t>
  </si>
  <si>
    <t>备注</t>
  </si>
  <si>
    <t>official_doc</t>
  </si>
  <si>
    <t>iop_rag_flow_v3-meta-iop-knowledge-official_doc</t>
  </si>
  <si>
    <t>iop_rag_flow_v3-faq-iop-knowledge-shared</t>
  </si>
  <si>
    <t>iop_rag_flow_v3-content-iop-knowledge-official_doc</t>
  </si>
  <si>
    <t>iop_rag_flow_v3-catalog-iop-knowledge-official_doc</t>
  </si>
  <si>
    <t>集群1</t>
  </si>
  <si>
    <t>64C256G2000G*13</t>
  </si>
  <si>
    <t>由于机架问题只创建了11个节点</t>
  </si>
  <si>
    <t>mcsp_ic</t>
  </si>
  <si>
    <t>iop_rag_flow_v3-meta-iop-knowledge-mcsp_ic</t>
  </si>
  <si>
    <t>iop_rag_flow_v3-content-iop-knowledge-mcsp_ic</t>
  </si>
  <si>
    <t>iop_rag_flow_v3-catalog-iop-knowledge-mcsp_ic</t>
  </si>
  <si>
    <t>集群2</t>
  </si>
  <si>
    <t>64C256G1600G*3</t>
  </si>
  <si>
    <t>knowledge</t>
  </si>
  <si>
    <t>iop_rag_flow_v3-meta-iop-knowledge-knowledge</t>
  </si>
  <si>
    <t>iop_rag_flow_v3-faq-iop-knowledge-knowledge</t>
  </si>
  <si>
    <t>iop_rag_flow_v3-content-iop-knowledge-knowledge</t>
  </si>
  <si>
    <t>iop_rag_flow_v3-catalog-iop-knowledge-knowledge</t>
  </si>
  <si>
    <t>集群3</t>
  </si>
  <si>
    <t>64C256G1800G*7</t>
  </si>
  <si>
    <t>3.20</t>
  </si>
  <si>
    <t>knowledge_book</t>
  </si>
  <si>
    <t>iop_rag_flow_v3-meta-iop-knowledge-knowledge_book</t>
  </si>
  <si>
    <t>iop_rag_flow_v3-content-iop-knowledge-knowledge_book</t>
  </si>
  <si>
    <t>iop_rag_flow_v3-catalog-iop-knowledge-knowledge_book</t>
  </si>
  <si>
    <t>g-dpm</t>
  </si>
  <si>
    <t>iop_rag_flow_v3-meta-iop-knowledge-g-dpm</t>
  </si>
  <si>
    <t>iop_rag_flow_v3-content-iop-knowledge-g-dpm</t>
  </si>
  <si>
    <t>iop_rag_flow_v3-catalog-iop-knowledge-g-dpm</t>
  </si>
  <si>
    <t>集群5</t>
  </si>
  <si>
    <t>64C256G1500G*6</t>
  </si>
  <si>
    <t>airc_agent</t>
  </si>
  <si>
    <t>iop_rag_flow_v3-meta-iop-knowledge-shared</t>
  </si>
  <si>
    <t>iop_rag_flow_v3-content-iop-knowledge-shared</t>
  </si>
  <si>
    <t>iop_rag_flow_v3-catalog-iop-knowledge-shared</t>
  </si>
  <si>
    <t>集群4</t>
  </si>
  <si>
    <t>64C256G1500G*5</t>
  </si>
  <si>
    <t>g-rcs</t>
  </si>
  <si>
    <t>iop_rag_flow_v3-meta-iop-knowledge-g-rcs</t>
  </si>
  <si>
    <t>iop_rag_flow_v3-content-iop-knowledge-g-rcs</t>
  </si>
  <si>
    <t>iop_rag_flow_v3-catalog-iop-knowledge-g-rcs</t>
  </si>
  <si>
    <t>f-devops</t>
  </si>
  <si>
    <t>iop_rag_flow_v3-meta-iop-knowledge-f-devops</t>
  </si>
  <si>
    <t>iop_rag_flow_v3-content-iop-knowledge-f-devops</t>
  </si>
  <si>
    <t>iop_rag_flow_v3-catalog-iop-knowledge-f-devops</t>
  </si>
  <si>
    <t>c-skm</t>
  </si>
  <si>
    <t>d-sdlw</t>
  </si>
  <si>
    <t>iop_rag_flow_v3-meta-iop-knowledge-d-sdlw</t>
  </si>
  <si>
    <t>iop_rag_flow_v3-content-iop-knowledge-d-sdlw</t>
  </si>
  <si>
    <t>iop_rag_flow_v3-catalog-iop-knowledge-d-sdlw</t>
  </si>
  <si>
    <t>mplm</t>
  </si>
  <si>
    <t>iop_rag_flow_v3-meta-iop-knowledge-mplm</t>
  </si>
  <si>
    <t>iop_rag_flow_v3-content-iop-knowledge-mplm</t>
  </si>
  <si>
    <t>iop_rag_flow_v3-catalog-iop-knowledge-mplm</t>
  </si>
  <si>
    <t>tsp</t>
  </si>
  <si>
    <t>iop_rag_flow_v3-meta-iop-knowledge-tsp</t>
  </si>
  <si>
    <t>iop_rag_flow_v3-content-iop-knowledge-tsp</t>
  </si>
  <si>
    <t>iop_rag_flow_v3-catalog-iop-knowledge-tsp</t>
  </si>
  <si>
    <t>g-qms</t>
  </si>
  <si>
    <t>iop_rag_flow_v3-meta-iop-knowledge-g-qms</t>
  </si>
  <si>
    <t>iop_rag_flow_v3-content-iop-knowledge-g-qms</t>
  </si>
  <si>
    <t>iop_rag_flow_v3-catalog-iop-knowledge-g-qms</t>
  </si>
  <si>
    <t>aigc-portal</t>
  </si>
  <si>
    <t>iop_rag_flow_v3-meta-iop-knowledge-aigc-portal</t>
  </si>
  <si>
    <t>iop_rag_flow_v3-content-iop-knowledge-aigc-portal</t>
  </si>
  <si>
    <t>iop_rag_flow_v3-catalog-iop-knowledge-aigc-portal</t>
  </si>
  <si>
    <t>g-sotc</t>
  </si>
  <si>
    <t>iop_rag_flow_v3-meta-iop-knowledge-g-sotc</t>
  </si>
  <si>
    <t>iop_rag_flow_v3-content-iop-knowledge-g-sotc</t>
  </si>
  <si>
    <t>iop_rag_flow_v3-catalog-iop-knowledge-g-sotc</t>
  </si>
  <si>
    <t>ihr-train</t>
  </si>
  <si>
    <t>iop_rag_flow_v3-meta-iop-knowledge-ihr-train</t>
  </si>
  <si>
    <t>iop_rag_flow_v3-content-iop-knowledge-ihr-train</t>
  </si>
  <si>
    <t>iop_rag_flow_v3-catalog-iop-knowledge-ihr-train</t>
  </si>
  <si>
    <t>g-fmea</t>
  </si>
  <si>
    <t>iop_rag_flow_v3-meta-iop-knowledge-g-fmea</t>
  </si>
  <si>
    <t>iop_rag_flow_v3-content-iop-knowledge-g-fmea</t>
  </si>
  <si>
    <t>iop_rag_flow_v3-catalog-iop-knowledge-g-fmea</t>
  </si>
  <si>
    <t>file-det</t>
  </si>
  <si>
    <t>iop_rag_flow_v3-meta-iop-knowledge-file-det</t>
  </si>
  <si>
    <t>iop_rag_flow_v3-content-iop-knowledge-file-det</t>
  </si>
  <si>
    <t>iop_rag_flow_v3-catalog-iop-knowledge-file-det</t>
  </si>
  <si>
    <t>kmp</t>
  </si>
  <si>
    <t>iop_rag_flow_v3-meta-iop-knowledge-kmp</t>
  </si>
  <si>
    <t>iop_rag_flow_v3-content-iop-knowledge-kmp</t>
  </si>
  <si>
    <t>iop_rag_flow_v3-catalog-iop-knowledge-kmp</t>
  </si>
  <si>
    <t>help_center</t>
  </si>
  <si>
    <t>iop_rag_flow_v3-meta-iop-knowledge-help_center</t>
  </si>
  <si>
    <t>iop_rag_flow_v3-content-iop-knowledge-help_center</t>
  </si>
  <si>
    <t>iop_rag_flow_v3-catalog-iop-knowledge-help_center</t>
  </si>
  <si>
    <t>aigc-umu</t>
  </si>
  <si>
    <t>g-pcf</t>
  </si>
  <si>
    <t>iop_rag_flow_v3-meta-iop-knowledge-g-pcf</t>
  </si>
  <si>
    <t>iop_rag_flow_v3-content-iop-knowledge-g-pcf</t>
  </si>
  <si>
    <t>iop_rag_flow_v3-catalog-iop-knowledge-g-pcf</t>
  </si>
  <si>
    <t>g-itrdm-sj</t>
  </si>
  <si>
    <t>iop_rag_flow_v3-meta-iop-knowledge-g-itrdm-sj</t>
  </si>
  <si>
    <t>iop_rag_flow_v3-content-iop-knowledge-g-itrdm-sj</t>
  </si>
  <si>
    <t>iop_rag_flow_v3-catalog-iop-knowledge-g-itrdm-sj</t>
  </si>
  <si>
    <t>gmcc</t>
  </si>
  <si>
    <t>t-mcd</t>
  </si>
  <si>
    <t>iop_rag_flow_v3-meta-iop-knowledge-t-mcd</t>
  </si>
  <si>
    <t>iop_rag_flow_v3-content-iop-knowledge-t-mcd</t>
  </si>
  <si>
    <t>iop_rag_flow_v3-catalog-iop-knowledge-t-mcd</t>
  </si>
  <si>
    <t>iop-robot</t>
  </si>
  <si>
    <t>iop_rag_flow_v3-meta-iop-knowledge-iop-robot</t>
  </si>
  <si>
    <t>iop_rag_flow_v3-content-iop-knowledge-iop-robot</t>
  </si>
  <si>
    <t>iop_rag_flow_v3-catalog-iop-knowledge-iop-robot</t>
  </si>
  <si>
    <t>mcsp_plc</t>
  </si>
  <si>
    <t>kuka_ai_assistant</t>
  </si>
  <si>
    <t>iop_rag_flow_v3-meta-iop-knowledge-kuka_ai_assistant</t>
  </si>
  <si>
    <t>iop_rag_flow_v3-content-iop-knowledge-kuka_ai_assistant</t>
  </si>
  <si>
    <t>iop_rag_flow_v3-catalog-iop-knowledge-kuka_ai_assistant</t>
  </si>
  <si>
    <t>f-itsm-c</t>
  </si>
  <si>
    <t>mcd</t>
  </si>
  <si>
    <t>c-iot</t>
  </si>
  <si>
    <t>gtrd</t>
  </si>
  <si>
    <t>iop_rag_flow_v3-meta-iop-knowledge-gtrd</t>
  </si>
  <si>
    <t>iop_rag_flow_v3-content-iop-knowledge-gtrd</t>
  </si>
  <si>
    <t>iop_rag_flow_v3-catalog-iop-knowledge-gtrd</t>
  </si>
  <si>
    <t>ex_sxmxt</t>
  </si>
  <si>
    <t>gpim</t>
  </si>
  <si>
    <t>ihr_train</t>
  </si>
  <si>
    <t>iop_rag_flow_v3-meta-iop-knowledge-ihr_train</t>
  </si>
  <si>
    <t>iop_rag_flow_v3-content-iop-knowledge-ihr_train</t>
  </si>
  <si>
    <t>iop_rag_flow_v3-catalog-iop-knowledge-ihr_train</t>
  </si>
  <si>
    <t>g-mcc</t>
  </si>
  <si>
    <t>gems</t>
  </si>
  <si>
    <t>iop_rag_flow_v3-meta-iop-knowledge-gems</t>
  </si>
  <si>
    <t>iop_rag_flow_v3-content-iop-knowledge-gems</t>
  </si>
  <si>
    <t>iop_rag_flow_v3-catalog-iop-knowledge-gems</t>
  </si>
  <si>
    <t>patent_search</t>
  </si>
  <si>
    <t>iop_rag_flow_v3-meta-iop-knowledge-patent_search</t>
  </si>
  <si>
    <t>iop_rag_flow_v3-content-iop-knowledge-patent_search</t>
  </si>
  <si>
    <t>iop_rag_flow_v3-catalog-iop-knowledge-patent_search</t>
  </si>
  <si>
    <t>umu</t>
  </si>
  <si>
    <t>iop_rag_flow_v3-meta-iop-knowledge-umu</t>
  </si>
  <si>
    <t>iop_rag_flow_v3-content-iop-knowledge-umu</t>
  </si>
  <si>
    <t>iop_rag_flow_v3-catalog-iop-knowledge-umu</t>
  </si>
  <si>
    <t>g-gpm</t>
  </si>
  <si>
    <t>ipm</t>
  </si>
  <si>
    <t>qms</t>
  </si>
  <si>
    <t>meicloud-itsm</t>
  </si>
  <si>
    <t>mcsp_ms</t>
  </si>
  <si>
    <t>gsbp</t>
  </si>
  <si>
    <t>ihr_selfhelp</t>
  </si>
  <si>
    <t>iop_rag_flow_v3-meta-iop-knowledge-ihr_selfhelp</t>
  </si>
  <si>
    <t>iop_rag_flow_v3-content-iop-knowledge-ihr_selfhelp</t>
  </si>
  <si>
    <t>iop_rag_flow_v3-catalog-iop-knowledge-ihr_selfhelp</t>
  </si>
  <si>
    <t>test</t>
  </si>
  <si>
    <t>u-aias</t>
  </si>
  <si>
    <t>mtp</t>
  </si>
  <si>
    <t>g-qms2</t>
  </si>
  <si>
    <t>iac</t>
  </si>
  <si>
    <t>ksms</t>
  </si>
  <si>
    <t>Test_G</t>
  </si>
  <si>
    <t>g-aps-2</t>
  </si>
  <si>
    <t>confluence</t>
  </si>
  <si>
    <t>MDesign</t>
  </si>
  <si>
    <t>SKILL</t>
  </si>
  <si>
    <t>agent-skills</t>
  </si>
  <si>
    <t>ai-css</t>
  </si>
  <si>
    <t>c-cc</t>
  </si>
  <si>
    <t>c-ecc</t>
  </si>
  <si>
    <t>d-dban</t>
  </si>
  <si>
    <t>g-dms</t>
  </si>
  <si>
    <t>g-eam</t>
  </si>
  <si>
    <t>g-gfp</t>
  </si>
  <si>
    <t>g-hr-resume</t>
  </si>
  <si>
    <t>gpm</t>
  </si>
  <si>
    <t>help_service</t>
  </si>
  <si>
    <t>ltm</t>
  </si>
  <si>
    <t>material_gallery</t>
  </si>
  <si>
    <t>material_gmdesign</t>
  </si>
  <si>
    <t>material_gpim</t>
  </si>
  <si>
    <t>material_ipdp</t>
  </si>
  <si>
    <t>material_mcsp_ic</t>
  </si>
  <si>
    <t>material_mcsp_ssc</t>
  </si>
  <si>
    <t>material_mdesign</t>
  </si>
  <si>
    <t>mcp-host</t>
  </si>
  <si>
    <t>mlp</t>
  </si>
  <si>
    <t>mplm_ocm</t>
  </si>
  <si>
    <t>mus_mbpm_template</t>
  </si>
  <si>
    <t>mus_mtp</t>
  </si>
  <si>
    <t>mus_portal_link_resource</t>
  </si>
  <si>
    <t>slab</t>
  </si>
  <si>
    <t>i-ptsp</t>
  </si>
  <si>
    <t>g-mls</t>
  </si>
  <si>
    <t>i-ecom</t>
  </si>
  <si>
    <t>预留50%</t>
  </si>
  <si>
    <t>64C256G3000G*13</t>
  </si>
  <si>
    <t>64C256G2500G*4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</si>
</sst>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trike/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trike/>
      <sz val="11"/>
      <color rgb="FF000000"/>
      <name val="宋体"/>
      <charset val="134"/>
    </font>
    <font>
      <sz val="11"/>
      <color rgb="FFFF0000"/>
      <name val="宋体"/>
      <charset val="134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4" borderId="1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2">
      <alignment vertical="center"/>
    </xf>
    <xf numFmtId="0" fontId="12" fillId="0" borderId="2">
      <alignment vertical="center"/>
    </xf>
    <xf numFmtId="0" fontId="13" fillId="0" borderId="3">
      <alignment vertical="center"/>
    </xf>
    <xf numFmtId="0" fontId="13" fillId="0" borderId="0">
      <alignment vertical="center"/>
    </xf>
    <xf numFmtId="0" fontId="14" fillId="5" borderId="4">
      <alignment vertical="center"/>
    </xf>
    <xf numFmtId="0" fontId="15" fillId="6" borderId="5">
      <alignment vertical="center"/>
    </xf>
    <xf numFmtId="0" fontId="16" fillId="6" borderId="4">
      <alignment vertical="center"/>
    </xf>
    <xf numFmtId="0" fontId="17" fillId="7" borderId="6">
      <alignment vertical="center"/>
    </xf>
    <xf numFmtId="0" fontId="18" fillId="0" borderId="7">
      <alignment vertical="center"/>
    </xf>
    <xf numFmtId="0" fontId="19" fillId="0" borderId="8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4" fillId="32" borderId="0">
      <alignment vertical="center"/>
    </xf>
    <xf numFmtId="0" fontId="24" fillId="33" borderId="0">
      <alignment vertical="center"/>
    </xf>
    <xf numFmtId="0" fontId="23" fillId="34" borderId="0">
      <alignment vertical="center"/>
    </xf>
  </cellStyleXfs>
  <cellXfs count="13">
    <xf numFmtId="0" fontId="0" fillId="0" borderId="0" xfId="0" applyAlignment="1">
      <alignment vertical="center"/>
    </xf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2" borderId="0" xfId="0" applyFill="1" applyAlignme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49" fontId="2" fillId="0" borderId="0" xfId="0" applyNumberFormat="1" applyFont="1" applyAlignment="1">
      <alignment horizontal="right" vertical="center"/>
    </xf>
    <xf numFmtId="0" fontId="0" fillId="3" borderId="0" xfId="0" applyFill="1" applyAlignment="1">
      <alignment vertical="center"/>
    </xf>
    <xf numFmtId="0" fontId="5" fillId="3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7" dbFileVersion="0">
    <open main="61" threadCnt="1"/>
    <sheetInfos>
      <sheetInfo cellCmpFml="1" sheetStid="1">
        <open main="3" threadCnt="1"/>
      </sheetInfo>
      <sheetInfo cellCmpFml="1" sheetStid="4">
        <open main="2" threadCnt="1"/>
      </sheetInfo>
      <sheetInfo cellCmpFml="2" sheetStid="5">
        <open threadCnt="1"/>
      </sheetInfo>
      <sheetInfo cellCmpFml="2" sheetStid="7">
        <open threadCnt="1"/>
      </sheetInfo>
      <sheetInfo cellCmpFml="1" sheetStid="9">
        <open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eetMetadata" Target="metadata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www.wps.cn/officeDocument/2023/relationships/woinfos" Target="woinfos.xml"/><Relationship Id="rId13" Type="http://schemas.openxmlformats.org/officeDocument/2006/relationships/styles" Target="styles.xml"/><Relationship Id="rId12" Type="http://schemas.openxmlformats.org/officeDocument/2006/relationships/customXml" Target="../customXml/item3.xml"/><Relationship Id="rId11" Type="http://schemas.openxmlformats.org/officeDocument/2006/relationships/customXml" Target="../customXml/item2.xml"/><Relationship Id="rId10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87"/>
  <sheetViews>
    <sheetView tabSelected="1" topLeftCell="E18" workbookViewId="0">
      <selection activeCell="J8" sqref="J8:J45"/>
    </sheetView>
  </sheetViews>
  <sheetFormatPr defaultColWidth="9.23333333333333" defaultRowHeight="13.5"/>
  <cols>
    <col min="1" max="1" width="23.475" customWidth="1"/>
    <col min="2" max="2" width="62.625" customWidth="1"/>
    <col min="3" max="3" width="55.7666666666667" customWidth="1"/>
    <col min="4" max="4" width="52.4" customWidth="1"/>
    <col min="5" max="5" width="57.125" style="2" customWidth="1"/>
    <col min="7" max="7" width="12.625" customWidth="1"/>
    <col min="8" max="8" width="15.6916666666667" customWidth="1"/>
    <col min="9" max="9" width="20.1833333333333" customWidth="1"/>
    <col min="10" max="10" width="10.375"/>
    <col min="11" max="11" width="6.375" customWidth="1"/>
    <col min="12" max="12" width="16.375" customWidth="1"/>
    <col min="13" max="13" width="6.375" customWidth="1"/>
    <col min="15" max="15" width="16" customWidth="1"/>
    <col min="16" max="16" width="10.375" style="3" customWidth="1"/>
    <col min="17" max="17" width="29.75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K1" s="4" t="s">
        <v>9</v>
      </c>
      <c r="L1" s="4" t="s">
        <v>10</v>
      </c>
      <c r="M1" s="4" t="s">
        <v>11</v>
      </c>
      <c r="P1" s="5" t="s">
        <v>9</v>
      </c>
      <c r="Q1" s="4" t="s">
        <v>12</v>
      </c>
    </row>
    <row r="2" spans="1:18">
      <c r="A2" t="s">
        <v>13</v>
      </c>
      <c r="B2" t="s">
        <v>14</v>
      </c>
      <c r="C2" s="6" t="s">
        <v>15</v>
      </c>
      <c r="D2" t="s">
        <v>16</v>
      </c>
      <c r="E2" t="s">
        <v>17</v>
      </c>
      <c r="F2">
        <v>1287200</v>
      </c>
      <c r="G2">
        <v>0</v>
      </c>
      <c r="H2">
        <v>82461278</v>
      </c>
      <c r="I2">
        <v>342488731</v>
      </c>
      <c r="J2">
        <f t="shared" ref="J2:J55" si="0">SUM(F2:I2)</f>
        <v>426237209</v>
      </c>
      <c r="K2">
        <v>5115</v>
      </c>
      <c r="L2">
        <v>10230</v>
      </c>
      <c r="M2">
        <v>403</v>
      </c>
      <c r="N2" s="7" t="s">
        <v>18</v>
      </c>
      <c r="O2" s="4" t="s">
        <v>19</v>
      </c>
      <c r="P2" s="3">
        <v>40859</v>
      </c>
      <c r="Q2" s="8" t="s">
        <v>20</v>
      </c>
      <c r="R2">
        <v>3.17</v>
      </c>
    </row>
    <row r="3" spans="1:18">
      <c r="A3" t="s">
        <v>21</v>
      </c>
      <c r="B3" t="s">
        <v>22</v>
      </c>
      <c r="C3" s="6" t="s">
        <v>15</v>
      </c>
      <c r="D3" t="s">
        <v>23</v>
      </c>
      <c r="E3" t="s">
        <v>24</v>
      </c>
      <c r="F3">
        <v>1317195</v>
      </c>
      <c r="G3">
        <v>0</v>
      </c>
      <c r="H3">
        <v>2207299</v>
      </c>
      <c r="I3">
        <v>80129189</v>
      </c>
      <c r="J3">
        <f t="shared" si="0"/>
        <v>83653683</v>
      </c>
      <c r="K3" s="4">
        <v>1004</v>
      </c>
      <c r="L3" s="4">
        <v>2008</v>
      </c>
      <c r="M3" s="4">
        <v>93</v>
      </c>
      <c r="N3" s="7" t="s">
        <v>25</v>
      </c>
      <c r="O3" s="4" t="s">
        <v>26</v>
      </c>
      <c r="P3" s="5">
        <v>2356</v>
      </c>
      <c r="R3">
        <v>3.18</v>
      </c>
    </row>
    <row r="4" spans="1:18">
      <c r="A4" t="s">
        <v>27</v>
      </c>
      <c r="B4" t="s">
        <v>28</v>
      </c>
      <c r="C4" t="s">
        <v>29</v>
      </c>
      <c r="D4" t="s">
        <v>30</v>
      </c>
      <c r="E4" s="4" t="s">
        <v>31</v>
      </c>
      <c r="F4">
        <v>1774129</v>
      </c>
      <c r="G4">
        <v>8755952</v>
      </c>
      <c r="H4">
        <v>10589074</v>
      </c>
      <c r="I4">
        <v>47784090</v>
      </c>
      <c r="J4">
        <f t="shared" si="0"/>
        <v>68903245</v>
      </c>
      <c r="K4" s="9">
        <v>2490</v>
      </c>
      <c r="L4" s="9">
        <v>4980</v>
      </c>
      <c r="M4" s="9">
        <v>217</v>
      </c>
      <c r="N4" s="7" t="s">
        <v>32</v>
      </c>
      <c r="O4" s="7" t="s">
        <v>33</v>
      </c>
      <c r="R4" s="10" t="s">
        <v>34</v>
      </c>
    </row>
    <row r="5" spans="1:18">
      <c r="A5" t="s">
        <v>35</v>
      </c>
      <c r="B5" t="s">
        <v>36</v>
      </c>
      <c r="C5" s="6" t="s">
        <v>15</v>
      </c>
      <c r="D5" t="s">
        <v>37</v>
      </c>
      <c r="E5" t="s">
        <v>38</v>
      </c>
      <c r="F5">
        <v>1060744</v>
      </c>
      <c r="G5">
        <v>0</v>
      </c>
      <c r="H5">
        <v>59158018</v>
      </c>
      <c r="I5">
        <v>78376995</v>
      </c>
      <c r="J5">
        <f t="shared" si="0"/>
        <v>138595757</v>
      </c>
      <c r="K5" s="9"/>
      <c r="L5" s="9"/>
      <c r="M5" s="9"/>
      <c r="N5" s="7"/>
      <c r="O5" s="7"/>
    </row>
    <row r="6" spans="1:18">
      <c r="A6" t="s">
        <v>39</v>
      </c>
      <c r="B6" t="s">
        <v>40</v>
      </c>
      <c r="C6" s="6" t="s">
        <v>15</v>
      </c>
      <c r="D6" t="s">
        <v>41</v>
      </c>
      <c r="E6" t="s">
        <v>42</v>
      </c>
      <c r="F6">
        <v>4460524</v>
      </c>
      <c r="G6">
        <v>0</v>
      </c>
      <c r="H6">
        <v>38690250</v>
      </c>
      <c r="I6">
        <v>44871586</v>
      </c>
      <c r="J6">
        <f t="shared" si="0"/>
        <v>88022360</v>
      </c>
      <c r="K6">
        <v>1645</v>
      </c>
      <c r="L6">
        <v>3290</v>
      </c>
      <c r="M6">
        <v>186</v>
      </c>
      <c r="N6" s="7" t="s">
        <v>43</v>
      </c>
      <c r="O6" s="4" t="s">
        <v>44</v>
      </c>
      <c r="P6">
        <v>137034909</v>
      </c>
      <c r="R6">
        <v>3.24</v>
      </c>
    </row>
    <row r="7" spans="1:18">
      <c r="A7" t="s">
        <v>45</v>
      </c>
      <c r="B7" t="s">
        <v>46</v>
      </c>
      <c r="C7" s="6" t="s">
        <v>15</v>
      </c>
      <c r="D7" t="s">
        <v>47</v>
      </c>
      <c r="E7" t="s">
        <v>48</v>
      </c>
      <c r="F7">
        <v>50573</v>
      </c>
      <c r="G7">
        <v>0</v>
      </c>
      <c r="H7">
        <v>12382183</v>
      </c>
      <c r="I7">
        <v>51792257</v>
      </c>
      <c r="J7">
        <f t="shared" si="0"/>
        <v>64225013</v>
      </c>
      <c r="K7">
        <v>1390</v>
      </c>
      <c r="L7">
        <v>2780</v>
      </c>
      <c r="M7">
        <v>155</v>
      </c>
      <c r="N7" s="7" t="s">
        <v>49</v>
      </c>
      <c r="O7" s="4" t="s">
        <v>50</v>
      </c>
      <c r="P7">
        <v>115834324</v>
      </c>
      <c r="R7">
        <v>3.24</v>
      </c>
    </row>
    <row r="8" spans="1:18">
      <c r="A8" t="s">
        <v>51</v>
      </c>
      <c r="B8" t="s">
        <v>52</v>
      </c>
      <c r="C8" s="6" t="s">
        <v>15</v>
      </c>
      <c r="D8" t="s">
        <v>53</v>
      </c>
      <c r="E8" s="11" t="s">
        <v>54</v>
      </c>
      <c r="F8">
        <v>105507</v>
      </c>
      <c r="G8">
        <v>0</v>
      </c>
      <c r="H8">
        <v>9201448</v>
      </c>
      <c r="I8">
        <v>21448168</v>
      </c>
      <c r="J8">
        <f t="shared" si="0"/>
        <v>30755123</v>
      </c>
      <c r="N8" s="7" t="s">
        <v>43</v>
      </c>
      <c r="O8" s="4"/>
    </row>
    <row r="9" spans="1:18">
      <c r="A9" t="s">
        <v>55</v>
      </c>
      <c r="B9" t="s">
        <v>56</v>
      </c>
      <c r="C9" s="6" t="s">
        <v>15</v>
      </c>
      <c r="D9" t="s">
        <v>57</v>
      </c>
      <c r="E9" t="s">
        <v>58</v>
      </c>
      <c r="F9">
        <v>4851006</v>
      </c>
      <c r="G9">
        <v>0</v>
      </c>
      <c r="H9">
        <v>4850124</v>
      </c>
      <c r="I9">
        <v>4860616</v>
      </c>
      <c r="J9">
        <f t="shared" si="0"/>
        <v>14561746</v>
      </c>
      <c r="N9" s="7" t="s">
        <v>49</v>
      </c>
    </row>
    <row r="10" spans="1:18">
      <c r="A10" t="s">
        <v>59</v>
      </c>
      <c r="B10" t="s">
        <v>46</v>
      </c>
      <c r="C10" s="6" t="s">
        <v>15</v>
      </c>
      <c r="D10" t="s">
        <v>47</v>
      </c>
      <c r="E10" t="s">
        <v>48</v>
      </c>
      <c r="F10">
        <v>93876</v>
      </c>
      <c r="G10">
        <v>0</v>
      </c>
      <c r="H10">
        <v>862996</v>
      </c>
      <c r="I10">
        <v>9042075</v>
      </c>
      <c r="J10">
        <f t="shared" si="0"/>
        <v>9998947</v>
      </c>
      <c r="N10" s="7" t="s">
        <v>49</v>
      </c>
    </row>
    <row r="11" spans="1:18">
      <c r="A11" t="s">
        <v>60</v>
      </c>
      <c r="B11" t="s">
        <v>61</v>
      </c>
      <c r="C11" s="6" t="s">
        <v>15</v>
      </c>
      <c r="D11" t="s">
        <v>62</v>
      </c>
      <c r="E11" t="s">
        <v>63</v>
      </c>
      <c r="F11">
        <v>1214790</v>
      </c>
      <c r="G11">
        <v>908</v>
      </c>
      <c r="H11">
        <v>1267987</v>
      </c>
      <c r="I11">
        <v>7224549</v>
      </c>
      <c r="J11">
        <f t="shared" si="0"/>
        <v>9708234</v>
      </c>
      <c r="N11" s="7" t="s">
        <v>49</v>
      </c>
    </row>
    <row r="12" spans="1:18">
      <c r="A12" t="s">
        <v>64</v>
      </c>
      <c r="B12" t="s">
        <v>65</v>
      </c>
      <c r="C12" s="6" t="s">
        <v>15</v>
      </c>
      <c r="D12" t="s">
        <v>66</v>
      </c>
      <c r="E12" s="11" t="s">
        <v>67</v>
      </c>
      <c r="F12">
        <v>563845</v>
      </c>
      <c r="G12">
        <v>0</v>
      </c>
      <c r="H12">
        <v>1943846</v>
      </c>
      <c r="I12">
        <v>6223589</v>
      </c>
      <c r="J12">
        <f t="shared" si="0"/>
        <v>8731280</v>
      </c>
      <c r="N12" s="7" t="s">
        <v>43</v>
      </c>
    </row>
    <row r="13" spans="1:18">
      <c r="A13" t="s">
        <v>68</v>
      </c>
      <c r="B13" t="s">
        <v>69</v>
      </c>
      <c r="C13" s="6" t="s">
        <v>15</v>
      </c>
      <c r="D13" t="s">
        <v>70</v>
      </c>
      <c r="E13" t="s">
        <v>71</v>
      </c>
      <c r="F13">
        <v>53943</v>
      </c>
      <c r="G13">
        <v>0</v>
      </c>
      <c r="H13">
        <v>743201</v>
      </c>
      <c r="I13">
        <v>6691292</v>
      </c>
      <c r="J13">
        <f t="shared" si="0"/>
        <v>7488436</v>
      </c>
      <c r="N13" s="7" t="s">
        <v>49</v>
      </c>
    </row>
    <row r="14" spans="1:18">
      <c r="A14" t="s">
        <v>72</v>
      </c>
      <c r="B14" t="s">
        <v>73</v>
      </c>
      <c r="C14" s="6" t="s">
        <v>15</v>
      </c>
      <c r="D14" t="s">
        <v>74</v>
      </c>
      <c r="E14" t="s">
        <v>75</v>
      </c>
      <c r="F14">
        <v>32998</v>
      </c>
      <c r="G14">
        <v>0</v>
      </c>
      <c r="H14">
        <v>577604</v>
      </c>
      <c r="I14">
        <v>2983395</v>
      </c>
      <c r="J14">
        <f t="shared" si="0"/>
        <v>3593997</v>
      </c>
      <c r="N14" s="7" t="s">
        <v>43</v>
      </c>
    </row>
    <row r="15" spans="1:18">
      <c r="A15" t="s">
        <v>76</v>
      </c>
      <c r="B15" t="s">
        <v>77</v>
      </c>
      <c r="C15" s="6" t="s">
        <v>15</v>
      </c>
      <c r="D15" t="s">
        <v>78</v>
      </c>
      <c r="E15" t="s">
        <v>79</v>
      </c>
      <c r="F15">
        <v>247677</v>
      </c>
      <c r="G15">
        <v>0</v>
      </c>
      <c r="H15">
        <v>1641968</v>
      </c>
      <c r="I15">
        <v>1558296</v>
      </c>
      <c r="J15">
        <f t="shared" si="0"/>
        <v>3447941</v>
      </c>
      <c r="N15" s="7" t="s">
        <v>49</v>
      </c>
    </row>
    <row r="16" spans="1:18">
      <c r="A16" t="s">
        <v>80</v>
      </c>
      <c r="B16" t="s">
        <v>81</v>
      </c>
      <c r="C16" s="6" t="s">
        <v>15</v>
      </c>
      <c r="D16" t="s">
        <v>82</v>
      </c>
      <c r="E16" t="s">
        <v>83</v>
      </c>
      <c r="F16">
        <v>39163</v>
      </c>
      <c r="G16">
        <v>0</v>
      </c>
      <c r="H16">
        <v>652822</v>
      </c>
      <c r="I16">
        <v>2041304</v>
      </c>
      <c r="J16">
        <f t="shared" si="0"/>
        <v>2733289</v>
      </c>
      <c r="N16" s="7" t="s">
        <v>43</v>
      </c>
    </row>
    <row r="17" spans="1:14">
      <c r="A17" t="s">
        <v>84</v>
      </c>
      <c r="B17" t="s">
        <v>85</v>
      </c>
      <c r="C17" s="6" t="s">
        <v>15</v>
      </c>
      <c r="D17" t="s">
        <v>86</v>
      </c>
      <c r="E17" t="s">
        <v>87</v>
      </c>
      <c r="F17">
        <v>90307</v>
      </c>
      <c r="G17">
        <v>0</v>
      </c>
      <c r="H17">
        <v>603457</v>
      </c>
      <c r="I17">
        <v>1930834</v>
      </c>
      <c r="J17">
        <f t="shared" si="0"/>
        <v>2624598</v>
      </c>
      <c r="N17" s="7" t="s">
        <v>49</v>
      </c>
    </row>
    <row r="18" spans="1:14">
      <c r="A18" t="s">
        <v>88</v>
      </c>
      <c r="B18" t="s">
        <v>89</v>
      </c>
      <c r="C18" s="6" t="s">
        <v>15</v>
      </c>
      <c r="D18" t="s">
        <v>90</v>
      </c>
      <c r="E18" s="12" t="s">
        <v>91</v>
      </c>
      <c r="F18">
        <v>281186</v>
      </c>
      <c r="G18">
        <v>0</v>
      </c>
      <c r="H18">
        <v>294944</v>
      </c>
      <c r="I18">
        <v>1095644</v>
      </c>
      <c r="J18">
        <f t="shared" si="0"/>
        <v>1671774</v>
      </c>
      <c r="N18" s="7" t="s">
        <v>43</v>
      </c>
    </row>
    <row r="19" spans="1:14">
      <c r="A19" t="s">
        <v>92</v>
      </c>
      <c r="B19" t="s">
        <v>93</v>
      </c>
      <c r="C19" s="6" t="s">
        <v>15</v>
      </c>
      <c r="D19" t="s">
        <v>94</v>
      </c>
      <c r="E19" t="s">
        <v>95</v>
      </c>
      <c r="F19">
        <v>514</v>
      </c>
      <c r="G19">
        <v>0</v>
      </c>
      <c r="H19">
        <v>629351</v>
      </c>
      <c r="I19">
        <v>529957</v>
      </c>
      <c r="J19">
        <f t="shared" si="0"/>
        <v>1159822</v>
      </c>
      <c r="N19" s="7" t="s">
        <v>49</v>
      </c>
    </row>
    <row r="20" spans="1:14">
      <c r="A20" t="s">
        <v>96</v>
      </c>
      <c r="B20" t="s">
        <v>97</v>
      </c>
      <c r="C20" s="6" t="s">
        <v>15</v>
      </c>
      <c r="D20" t="s">
        <v>98</v>
      </c>
      <c r="E20" t="s">
        <v>99</v>
      </c>
      <c r="F20">
        <v>2793</v>
      </c>
      <c r="G20">
        <v>0</v>
      </c>
      <c r="H20">
        <v>87207</v>
      </c>
      <c r="I20">
        <v>519263</v>
      </c>
      <c r="J20">
        <f t="shared" si="0"/>
        <v>609263</v>
      </c>
      <c r="N20" s="7" t="s">
        <v>43</v>
      </c>
    </row>
    <row r="21" spans="1:14">
      <c r="A21" t="s">
        <v>100</v>
      </c>
      <c r="B21" t="s">
        <v>101</v>
      </c>
      <c r="C21" s="6" t="s">
        <v>15</v>
      </c>
      <c r="D21" t="s">
        <v>102</v>
      </c>
      <c r="E21" t="s">
        <v>103</v>
      </c>
      <c r="F21">
        <v>25634</v>
      </c>
      <c r="G21">
        <v>0</v>
      </c>
      <c r="H21">
        <v>255696</v>
      </c>
      <c r="I21">
        <v>311300</v>
      </c>
      <c r="J21">
        <f t="shared" si="0"/>
        <v>592630</v>
      </c>
      <c r="N21" s="7" t="s">
        <v>49</v>
      </c>
    </row>
    <row r="22" spans="1:14">
      <c r="A22" t="s">
        <v>104</v>
      </c>
      <c r="B22" t="s">
        <v>46</v>
      </c>
      <c r="C22" s="6" t="s">
        <v>15</v>
      </c>
      <c r="D22" t="s">
        <v>47</v>
      </c>
      <c r="E22" t="s">
        <v>48</v>
      </c>
      <c r="F22">
        <v>12355</v>
      </c>
      <c r="G22">
        <v>0</v>
      </c>
      <c r="H22">
        <v>146737</v>
      </c>
      <c r="I22">
        <v>390656</v>
      </c>
      <c r="J22">
        <f t="shared" si="0"/>
        <v>549748</v>
      </c>
      <c r="N22" s="7" t="s">
        <v>49</v>
      </c>
    </row>
    <row r="23" spans="1:14">
      <c r="A23" t="s">
        <v>105</v>
      </c>
      <c r="B23" t="s">
        <v>106</v>
      </c>
      <c r="C23" s="6" t="s">
        <v>15</v>
      </c>
      <c r="D23" t="s">
        <v>107</v>
      </c>
      <c r="E23" t="s">
        <v>108</v>
      </c>
      <c r="F23">
        <v>38375</v>
      </c>
      <c r="G23">
        <v>0</v>
      </c>
      <c r="H23">
        <v>182180</v>
      </c>
      <c r="I23">
        <v>182221</v>
      </c>
      <c r="J23">
        <f t="shared" si="0"/>
        <v>402776</v>
      </c>
      <c r="N23" s="7" t="s">
        <v>49</v>
      </c>
    </row>
    <row r="24" spans="1:14">
      <c r="A24" t="s">
        <v>109</v>
      </c>
      <c r="B24" t="s">
        <v>110</v>
      </c>
      <c r="C24" s="6" t="s">
        <v>15</v>
      </c>
      <c r="D24" t="s">
        <v>111</v>
      </c>
      <c r="E24" s="11" t="s">
        <v>112</v>
      </c>
      <c r="F24">
        <v>8728</v>
      </c>
      <c r="G24">
        <v>0</v>
      </c>
      <c r="H24">
        <v>206892</v>
      </c>
      <c r="I24">
        <v>145228</v>
      </c>
      <c r="J24">
        <f t="shared" si="0"/>
        <v>360848</v>
      </c>
      <c r="N24" s="7" t="s">
        <v>43</v>
      </c>
    </row>
    <row r="25" spans="1:14">
      <c r="A25" t="s">
        <v>113</v>
      </c>
      <c r="B25" t="s">
        <v>46</v>
      </c>
      <c r="C25" s="6" t="s">
        <v>15</v>
      </c>
      <c r="D25" t="s">
        <v>47</v>
      </c>
      <c r="E25" t="s">
        <v>48</v>
      </c>
      <c r="F25">
        <v>2413</v>
      </c>
      <c r="G25">
        <v>0</v>
      </c>
      <c r="H25">
        <v>45289</v>
      </c>
      <c r="I25">
        <v>250458</v>
      </c>
      <c r="J25">
        <f t="shared" si="0"/>
        <v>298160</v>
      </c>
      <c r="N25" s="7" t="s">
        <v>49</v>
      </c>
    </row>
    <row r="26" spans="1:14">
      <c r="A26" t="s">
        <v>114</v>
      </c>
      <c r="B26" t="s">
        <v>115</v>
      </c>
      <c r="C26" s="6" t="s">
        <v>15</v>
      </c>
      <c r="D26" t="s">
        <v>116</v>
      </c>
      <c r="E26" s="11" t="s">
        <v>117</v>
      </c>
      <c r="F26">
        <v>634</v>
      </c>
      <c r="G26">
        <v>0</v>
      </c>
      <c r="H26">
        <v>53209</v>
      </c>
      <c r="I26">
        <v>227408</v>
      </c>
      <c r="J26">
        <f t="shared" si="0"/>
        <v>281251</v>
      </c>
      <c r="N26" s="7" t="s">
        <v>43</v>
      </c>
    </row>
    <row r="27" spans="1:14">
      <c r="A27" t="s">
        <v>118</v>
      </c>
      <c r="B27" t="s">
        <v>119</v>
      </c>
      <c r="C27" s="6" t="s">
        <v>15</v>
      </c>
      <c r="D27" t="s">
        <v>120</v>
      </c>
      <c r="E27" t="s">
        <v>121</v>
      </c>
      <c r="F27">
        <v>39214</v>
      </c>
      <c r="G27">
        <v>8589</v>
      </c>
      <c r="H27">
        <v>28191</v>
      </c>
      <c r="I27">
        <v>127333</v>
      </c>
      <c r="J27">
        <f t="shared" si="0"/>
        <v>203327</v>
      </c>
      <c r="N27" s="7" t="s">
        <v>49</v>
      </c>
    </row>
    <row r="28" spans="1:14">
      <c r="A28" t="s">
        <v>122</v>
      </c>
      <c r="B28" t="s">
        <v>46</v>
      </c>
      <c r="C28" s="6" t="s">
        <v>15</v>
      </c>
      <c r="D28" t="s">
        <v>47</v>
      </c>
      <c r="E28" t="s">
        <v>48</v>
      </c>
      <c r="F28">
        <v>59098</v>
      </c>
      <c r="G28">
        <v>0</v>
      </c>
      <c r="H28">
        <v>59089</v>
      </c>
      <c r="I28">
        <v>58325</v>
      </c>
      <c r="J28">
        <f t="shared" si="0"/>
        <v>176512</v>
      </c>
      <c r="N28" s="7" t="s">
        <v>49</v>
      </c>
    </row>
    <row r="29" spans="1:14">
      <c r="A29" t="s">
        <v>123</v>
      </c>
      <c r="B29" t="s">
        <v>124</v>
      </c>
      <c r="C29" s="6" t="s">
        <v>15</v>
      </c>
      <c r="D29" t="s">
        <v>125</v>
      </c>
      <c r="E29" t="s">
        <v>126</v>
      </c>
      <c r="F29">
        <v>572</v>
      </c>
      <c r="G29">
        <v>0</v>
      </c>
      <c r="H29">
        <v>32728</v>
      </c>
      <c r="I29">
        <v>116851</v>
      </c>
      <c r="J29">
        <f t="shared" si="0"/>
        <v>150151</v>
      </c>
      <c r="N29" s="7" t="s">
        <v>43</v>
      </c>
    </row>
    <row r="30" spans="1:14">
      <c r="A30" t="s">
        <v>127</v>
      </c>
      <c r="B30" t="s">
        <v>46</v>
      </c>
      <c r="C30" s="6" t="s">
        <v>15</v>
      </c>
      <c r="D30" t="s">
        <v>47</v>
      </c>
      <c r="E30" t="s">
        <v>48</v>
      </c>
      <c r="F30">
        <v>12055</v>
      </c>
      <c r="G30">
        <v>132864</v>
      </c>
      <c r="H30">
        <v>0</v>
      </c>
      <c r="I30">
        <v>0</v>
      </c>
      <c r="J30">
        <f t="shared" si="0"/>
        <v>144919</v>
      </c>
      <c r="N30" s="7" t="s">
        <v>49</v>
      </c>
    </row>
    <row r="31" spans="1:14">
      <c r="A31" t="s">
        <v>128</v>
      </c>
      <c r="B31" t="s">
        <v>46</v>
      </c>
      <c r="C31" s="6" t="s">
        <v>15</v>
      </c>
      <c r="D31" t="s">
        <v>47</v>
      </c>
      <c r="E31" t="s">
        <v>48</v>
      </c>
      <c r="F31">
        <v>1069</v>
      </c>
      <c r="G31">
        <v>0</v>
      </c>
      <c r="H31">
        <v>14427</v>
      </c>
      <c r="I31">
        <v>39225</v>
      </c>
      <c r="J31">
        <f t="shared" si="0"/>
        <v>54721</v>
      </c>
      <c r="N31" s="7" t="s">
        <v>49</v>
      </c>
    </row>
    <row r="32" spans="1:14">
      <c r="A32" t="s">
        <v>129</v>
      </c>
      <c r="B32" t="s">
        <v>46</v>
      </c>
      <c r="C32" s="6" t="s">
        <v>15</v>
      </c>
      <c r="D32" t="s">
        <v>47</v>
      </c>
      <c r="E32" t="s">
        <v>48</v>
      </c>
      <c r="F32">
        <v>20212</v>
      </c>
      <c r="G32">
        <v>0</v>
      </c>
      <c r="H32">
        <v>20972</v>
      </c>
      <c r="I32">
        <v>6379</v>
      </c>
      <c r="J32">
        <f t="shared" si="0"/>
        <v>47563</v>
      </c>
      <c r="N32" s="7" t="s">
        <v>49</v>
      </c>
    </row>
    <row r="33" spans="1:14">
      <c r="A33" t="s">
        <v>130</v>
      </c>
      <c r="B33" t="s">
        <v>131</v>
      </c>
      <c r="C33" s="6" t="s">
        <v>15</v>
      </c>
      <c r="D33" t="s">
        <v>132</v>
      </c>
      <c r="E33" t="s">
        <v>133</v>
      </c>
      <c r="F33">
        <v>1978</v>
      </c>
      <c r="G33">
        <v>0</v>
      </c>
      <c r="H33">
        <v>10916</v>
      </c>
      <c r="I33">
        <v>27684</v>
      </c>
      <c r="J33">
        <f t="shared" si="0"/>
        <v>40578</v>
      </c>
      <c r="N33" s="7" t="s">
        <v>43</v>
      </c>
    </row>
    <row r="34" spans="1:14">
      <c r="A34" t="s">
        <v>134</v>
      </c>
      <c r="B34" t="s">
        <v>46</v>
      </c>
      <c r="C34" s="6" t="s">
        <v>15</v>
      </c>
      <c r="D34" t="s">
        <v>47</v>
      </c>
      <c r="E34" t="s">
        <v>48</v>
      </c>
      <c r="F34">
        <v>1548</v>
      </c>
      <c r="G34">
        <v>0</v>
      </c>
      <c r="H34">
        <v>8806</v>
      </c>
      <c r="I34">
        <v>24547</v>
      </c>
      <c r="J34">
        <f t="shared" si="0"/>
        <v>34901</v>
      </c>
      <c r="N34" s="7" t="s">
        <v>49</v>
      </c>
    </row>
    <row r="35" spans="1:14">
      <c r="A35" t="s">
        <v>135</v>
      </c>
      <c r="B35" t="s">
        <v>46</v>
      </c>
      <c r="C35" s="6" t="s">
        <v>15</v>
      </c>
      <c r="D35" t="s">
        <v>47</v>
      </c>
      <c r="E35" t="s">
        <v>48</v>
      </c>
      <c r="F35">
        <v>854</v>
      </c>
      <c r="G35">
        <v>0</v>
      </c>
      <c r="H35">
        <v>854</v>
      </c>
      <c r="I35">
        <v>32224</v>
      </c>
      <c r="J35">
        <f t="shared" si="0"/>
        <v>33932</v>
      </c>
      <c r="N35" s="7" t="s">
        <v>49</v>
      </c>
    </row>
    <row r="36" spans="1:14">
      <c r="A36" t="s">
        <v>136</v>
      </c>
      <c r="B36" t="s">
        <v>137</v>
      </c>
      <c r="C36" s="6" t="s">
        <v>15</v>
      </c>
      <c r="D36" t="s">
        <v>138</v>
      </c>
      <c r="E36" t="s">
        <v>139</v>
      </c>
      <c r="F36">
        <v>176</v>
      </c>
      <c r="G36">
        <v>0</v>
      </c>
      <c r="H36">
        <v>5515</v>
      </c>
      <c r="I36">
        <v>28120</v>
      </c>
      <c r="J36">
        <f t="shared" si="0"/>
        <v>33811</v>
      </c>
      <c r="N36" s="7" t="s">
        <v>43</v>
      </c>
    </row>
    <row r="37" spans="1:14">
      <c r="A37" t="s">
        <v>140</v>
      </c>
      <c r="B37" t="s">
        <v>46</v>
      </c>
      <c r="C37" s="6" t="s">
        <v>15</v>
      </c>
      <c r="D37" t="s">
        <v>47</v>
      </c>
      <c r="E37" t="s">
        <v>48</v>
      </c>
      <c r="F37">
        <v>6862</v>
      </c>
      <c r="G37">
        <v>0</v>
      </c>
      <c r="H37">
        <v>7291</v>
      </c>
      <c r="I37">
        <v>7260</v>
      </c>
      <c r="J37">
        <f t="shared" si="0"/>
        <v>21413</v>
      </c>
      <c r="N37" s="7" t="s">
        <v>49</v>
      </c>
    </row>
    <row r="38" spans="1:14">
      <c r="A38" t="s">
        <v>141</v>
      </c>
      <c r="B38" t="s">
        <v>142</v>
      </c>
      <c r="C38" s="6" t="s">
        <v>15</v>
      </c>
      <c r="D38" t="s">
        <v>143</v>
      </c>
      <c r="E38" t="s">
        <v>144</v>
      </c>
      <c r="F38">
        <v>130</v>
      </c>
      <c r="G38">
        <v>0</v>
      </c>
      <c r="H38">
        <v>2514</v>
      </c>
      <c r="I38">
        <v>14530</v>
      </c>
      <c r="J38">
        <f t="shared" si="0"/>
        <v>17174</v>
      </c>
      <c r="N38" s="7" t="s">
        <v>43</v>
      </c>
    </row>
    <row r="39" spans="1:14">
      <c r="A39" t="s">
        <v>145</v>
      </c>
      <c r="B39" t="s">
        <v>146</v>
      </c>
      <c r="C39" s="6" t="s">
        <v>15</v>
      </c>
      <c r="D39" t="s">
        <v>147</v>
      </c>
      <c r="E39" t="s">
        <v>148</v>
      </c>
      <c r="F39">
        <v>233</v>
      </c>
      <c r="G39">
        <v>0</v>
      </c>
      <c r="H39">
        <v>2878</v>
      </c>
      <c r="I39">
        <v>13939</v>
      </c>
      <c r="J39">
        <f t="shared" si="0"/>
        <v>17050</v>
      </c>
      <c r="N39" s="7" t="s">
        <v>43</v>
      </c>
    </row>
    <row r="40" spans="1:14">
      <c r="A40" t="s">
        <v>149</v>
      </c>
      <c r="B40" t="s">
        <v>150</v>
      </c>
      <c r="C40" s="6" t="s">
        <v>15</v>
      </c>
      <c r="D40" t="s">
        <v>151</v>
      </c>
      <c r="E40" t="s">
        <v>152</v>
      </c>
      <c r="F40">
        <v>1698</v>
      </c>
      <c r="G40">
        <v>0</v>
      </c>
      <c r="H40">
        <v>3307</v>
      </c>
      <c r="I40">
        <v>11955</v>
      </c>
      <c r="J40">
        <f t="shared" si="0"/>
        <v>16960</v>
      </c>
      <c r="N40" s="7" t="s">
        <v>43</v>
      </c>
    </row>
    <row r="41" spans="1:14">
      <c r="A41" t="s">
        <v>153</v>
      </c>
      <c r="B41" t="s">
        <v>46</v>
      </c>
      <c r="C41" s="6" t="s">
        <v>15</v>
      </c>
      <c r="D41" t="s">
        <v>47</v>
      </c>
      <c r="E41" t="s">
        <v>48</v>
      </c>
      <c r="F41">
        <v>4560</v>
      </c>
      <c r="G41">
        <v>0</v>
      </c>
      <c r="H41">
        <v>4560</v>
      </c>
      <c r="I41">
        <v>4560</v>
      </c>
      <c r="J41">
        <f t="shared" si="0"/>
        <v>13680</v>
      </c>
      <c r="N41" s="7" t="s">
        <v>49</v>
      </c>
    </row>
    <row r="42" spans="1:14">
      <c r="A42" t="s">
        <v>154</v>
      </c>
      <c r="B42" t="s">
        <v>46</v>
      </c>
      <c r="C42" s="6" t="s">
        <v>15</v>
      </c>
      <c r="D42" t="s">
        <v>47</v>
      </c>
      <c r="E42" t="s">
        <v>48</v>
      </c>
      <c r="F42">
        <v>3907</v>
      </c>
      <c r="G42">
        <v>0</v>
      </c>
      <c r="H42">
        <v>3907</v>
      </c>
      <c r="I42">
        <v>3907</v>
      </c>
      <c r="J42">
        <f t="shared" si="0"/>
        <v>11721</v>
      </c>
      <c r="N42" s="7" t="s">
        <v>49</v>
      </c>
    </row>
    <row r="43" spans="1:14">
      <c r="A43" t="s">
        <v>155</v>
      </c>
      <c r="B43" t="s">
        <v>46</v>
      </c>
      <c r="C43" s="6" t="s">
        <v>15</v>
      </c>
      <c r="D43" t="s">
        <v>47</v>
      </c>
      <c r="E43" t="s">
        <v>48</v>
      </c>
      <c r="F43">
        <v>174</v>
      </c>
      <c r="G43">
        <v>0</v>
      </c>
      <c r="H43">
        <v>1848</v>
      </c>
      <c r="I43">
        <v>7971</v>
      </c>
      <c r="J43">
        <f t="shared" si="0"/>
        <v>9993</v>
      </c>
      <c r="N43" s="7" t="s">
        <v>49</v>
      </c>
    </row>
    <row r="44" spans="1:14">
      <c r="A44" t="s">
        <v>156</v>
      </c>
      <c r="B44" t="s">
        <v>46</v>
      </c>
      <c r="C44" s="6" t="s">
        <v>15</v>
      </c>
      <c r="D44" t="s">
        <v>47</v>
      </c>
      <c r="E44" t="s">
        <v>48</v>
      </c>
      <c r="F44">
        <v>441</v>
      </c>
      <c r="G44">
        <v>0</v>
      </c>
      <c r="H44">
        <v>2636</v>
      </c>
      <c r="I44">
        <v>4085</v>
      </c>
      <c r="J44">
        <f t="shared" si="0"/>
        <v>7162</v>
      </c>
      <c r="N44" s="7" t="s">
        <v>49</v>
      </c>
    </row>
    <row r="45" spans="1:14">
      <c r="A45" t="s">
        <v>157</v>
      </c>
      <c r="B45" t="s">
        <v>46</v>
      </c>
      <c r="C45" s="6" t="s">
        <v>15</v>
      </c>
      <c r="D45" t="s">
        <v>47</v>
      </c>
      <c r="E45" t="s">
        <v>48</v>
      </c>
      <c r="F45">
        <v>1112</v>
      </c>
      <c r="G45">
        <v>0</v>
      </c>
      <c r="H45">
        <v>1132</v>
      </c>
      <c r="I45">
        <v>4345</v>
      </c>
      <c r="J45">
        <f t="shared" si="0"/>
        <v>6589</v>
      </c>
      <c r="N45" s="7" t="s">
        <v>49</v>
      </c>
    </row>
    <row r="46" spans="1:14">
      <c r="A46" t="s">
        <v>158</v>
      </c>
      <c r="B46" t="s">
        <v>46</v>
      </c>
      <c r="C46" s="6" t="s">
        <v>15</v>
      </c>
      <c r="D46" t="s">
        <v>47</v>
      </c>
      <c r="E46" t="s">
        <v>48</v>
      </c>
      <c r="F46">
        <v>137</v>
      </c>
      <c r="G46">
        <v>0</v>
      </c>
      <c r="H46">
        <v>1731</v>
      </c>
      <c r="I46">
        <v>2771</v>
      </c>
      <c r="J46">
        <f t="shared" si="0"/>
        <v>4639</v>
      </c>
      <c r="N46" s="7" t="s">
        <v>49</v>
      </c>
    </row>
    <row r="47" spans="1:14">
      <c r="A47" t="s">
        <v>159</v>
      </c>
      <c r="B47" s="6" t="s">
        <v>160</v>
      </c>
      <c r="C47" s="6" t="s">
        <v>15</v>
      </c>
      <c r="D47" s="6" t="s">
        <v>161</v>
      </c>
      <c r="E47" s="6" t="s">
        <v>162</v>
      </c>
      <c r="F47">
        <v>11</v>
      </c>
      <c r="G47">
        <v>0</v>
      </c>
      <c r="H47">
        <v>140</v>
      </c>
      <c r="I47">
        <v>1154</v>
      </c>
      <c r="J47">
        <f t="shared" si="0"/>
        <v>1305</v>
      </c>
      <c r="N47" s="7" t="s">
        <v>49</v>
      </c>
    </row>
    <row r="48" spans="1:14">
      <c r="A48" t="s">
        <v>163</v>
      </c>
      <c r="B48" t="s">
        <v>46</v>
      </c>
      <c r="C48" s="6" t="s">
        <v>15</v>
      </c>
      <c r="D48" t="s">
        <v>47</v>
      </c>
      <c r="E48" t="s">
        <v>48</v>
      </c>
      <c r="F48">
        <v>28</v>
      </c>
      <c r="G48">
        <v>0</v>
      </c>
      <c r="H48">
        <v>295</v>
      </c>
      <c r="I48">
        <v>644</v>
      </c>
      <c r="J48">
        <f t="shared" si="0"/>
        <v>967</v>
      </c>
      <c r="N48" s="7" t="s">
        <v>49</v>
      </c>
    </row>
    <row r="49" spans="1:14">
      <c r="A49" t="s">
        <v>164</v>
      </c>
      <c r="B49" t="s">
        <v>46</v>
      </c>
      <c r="C49" s="6" t="s">
        <v>15</v>
      </c>
      <c r="D49" t="s">
        <v>47</v>
      </c>
      <c r="E49" t="s">
        <v>48</v>
      </c>
      <c r="F49">
        <v>12</v>
      </c>
      <c r="G49">
        <v>0</v>
      </c>
      <c r="H49">
        <v>260</v>
      </c>
      <c r="I49">
        <v>472</v>
      </c>
      <c r="J49">
        <f t="shared" si="0"/>
        <v>744</v>
      </c>
      <c r="N49" s="7" t="s">
        <v>49</v>
      </c>
    </row>
    <row r="50" spans="1:14">
      <c r="A50" t="s">
        <v>165</v>
      </c>
      <c r="B50" t="s">
        <v>46</v>
      </c>
      <c r="C50" s="6" t="s">
        <v>15</v>
      </c>
      <c r="D50" t="s">
        <v>47</v>
      </c>
      <c r="E50" t="s">
        <v>48</v>
      </c>
      <c r="F50">
        <v>77</v>
      </c>
      <c r="G50">
        <v>0</v>
      </c>
      <c r="H50">
        <v>378</v>
      </c>
      <c r="I50">
        <v>246</v>
      </c>
      <c r="J50">
        <f t="shared" si="0"/>
        <v>701</v>
      </c>
      <c r="N50" s="7" t="s">
        <v>49</v>
      </c>
    </row>
    <row r="51" spans="1:14">
      <c r="A51" t="s">
        <v>166</v>
      </c>
      <c r="B51" t="s">
        <v>46</v>
      </c>
      <c r="C51" s="6" t="s">
        <v>15</v>
      </c>
      <c r="D51" t="s">
        <v>47</v>
      </c>
      <c r="E51" t="s">
        <v>48</v>
      </c>
      <c r="F51">
        <v>220</v>
      </c>
      <c r="G51">
        <v>0</v>
      </c>
      <c r="H51">
        <v>220</v>
      </c>
      <c r="I51">
        <v>219</v>
      </c>
      <c r="J51">
        <f t="shared" si="0"/>
        <v>659</v>
      </c>
      <c r="N51" s="7" t="s">
        <v>49</v>
      </c>
    </row>
    <row r="52" spans="1:14">
      <c r="A52" t="s">
        <v>167</v>
      </c>
      <c r="B52" t="s">
        <v>46</v>
      </c>
      <c r="C52" s="6" t="s">
        <v>15</v>
      </c>
      <c r="D52" t="s">
        <v>47</v>
      </c>
      <c r="E52" t="s">
        <v>48</v>
      </c>
      <c r="F52">
        <v>34</v>
      </c>
      <c r="G52">
        <v>0</v>
      </c>
      <c r="H52">
        <v>50</v>
      </c>
      <c r="I52">
        <v>293</v>
      </c>
      <c r="J52">
        <f t="shared" si="0"/>
        <v>377</v>
      </c>
      <c r="N52" s="7" t="s">
        <v>49</v>
      </c>
    </row>
    <row r="53" spans="1:14">
      <c r="A53" t="s">
        <v>168</v>
      </c>
      <c r="B53" t="s">
        <v>46</v>
      </c>
      <c r="C53" s="6" t="s">
        <v>15</v>
      </c>
      <c r="D53" t="s">
        <v>47</v>
      </c>
      <c r="E53" t="s">
        <v>48</v>
      </c>
      <c r="F53">
        <v>7</v>
      </c>
      <c r="G53">
        <v>0</v>
      </c>
      <c r="H53">
        <v>64</v>
      </c>
      <c r="I53">
        <v>221</v>
      </c>
      <c r="J53">
        <f t="shared" si="0"/>
        <v>292</v>
      </c>
      <c r="N53" s="7" t="s">
        <v>49</v>
      </c>
    </row>
    <row r="54" spans="1:14">
      <c r="A54" t="s">
        <v>169</v>
      </c>
      <c r="B54" t="s">
        <v>46</v>
      </c>
      <c r="C54" s="6" t="s">
        <v>15</v>
      </c>
      <c r="D54" t="s">
        <v>47</v>
      </c>
      <c r="E54" t="s">
        <v>48</v>
      </c>
      <c r="F54">
        <v>10</v>
      </c>
      <c r="G54">
        <v>0</v>
      </c>
      <c r="H54">
        <v>10</v>
      </c>
      <c r="I54">
        <v>126</v>
      </c>
      <c r="J54">
        <f t="shared" si="0"/>
        <v>146</v>
      </c>
      <c r="N54" s="7" t="s">
        <v>49</v>
      </c>
    </row>
    <row r="55" spans="1:14">
      <c r="A55" t="s">
        <v>170</v>
      </c>
      <c r="B55" t="s">
        <v>46</v>
      </c>
      <c r="C55" s="6" t="s">
        <v>15</v>
      </c>
      <c r="D55" t="s">
        <v>47</v>
      </c>
      <c r="E55" t="s">
        <v>48</v>
      </c>
      <c r="F55">
        <v>5</v>
      </c>
      <c r="G55">
        <v>5</v>
      </c>
      <c r="H55">
        <v>0</v>
      </c>
      <c r="I55">
        <v>0</v>
      </c>
      <c r="J55">
        <f t="shared" si="0"/>
        <v>10</v>
      </c>
      <c r="N55" s="7" t="s">
        <v>49</v>
      </c>
    </row>
    <row r="56" spans="1:14">
      <c r="A56" t="s">
        <v>171</v>
      </c>
      <c r="B56" t="s">
        <v>46</v>
      </c>
      <c r="C56" s="6" t="s">
        <v>15</v>
      </c>
      <c r="D56" t="s">
        <v>47</v>
      </c>
      <c r="E56" t="s">
        <v>48</v>
      </c>
      <c r="F56">
        <v>0</v>
      </c>
      <c r="G56">
        <v>0</v>
      </c>
      <c r="H56">
        <v>0</v>
      </c>
      <c r="I56">
        <v>0</v>
      </c>
      <c r="N56" s="7" t="s">
        <v>49</v>
      </c>
    </row>
    <row r="57" spans="1:14">
      <c r="A57" t="s">
        <v>172</v>
      </c>
      <c r="B57" t="s">
        <v>46</v>
      </c>
      <c r="C57" s="6" t="s">
        <v>15</v>
      </c>
      <c r="D57" t="s">
        <v>47</v>
      </c>
      <c r="E57" t="s">
        <v>48</v>
      </c>
      <c r="F57">
        <v>0</v>
      </c>
      <c r="G57">
        <v>0</v>
      </c>
      <c r="H57">
        <v>0</v>
      </c>
      <c r="I57">
        <v>0</v>
      </c>
      <c r="N57" s="7" t="s">
        <v>49</v>
      </c>
    </row>
    <row r="58" spans="1:14">
      <c r="A58" t="s">
        <v>173</v>
      </c>
      <c r="B58" t="s">
        <v>46</v>
      </c>
      <c r="C58" s="6" t="s">
        <v>15</v>
      </c>
      <c r="D58" t="s">
        <v>47</v>
      </c>
      <c r="E58" t="s">
        <v>48</v>
      </c>
      <c r="F58">
        <v>0</v>
      </c>
      <c r="G58">
        <v>0</v>
      </c>
      <c r="H58">
        <v>0</v>
      </c>
      <c r="I58">
        <v>0</v>
      </c>
      <c r="N58" s="7" t="s">
        <v>49</v>
      </c>
    </row>
    <row r="59" spans="1:14">
      <c r="A59" t="s">
        <v>174</v>
      </c>
      <c r="B59" t="s">
        <v>46</v>
      </c>
      <c r="C59" s="6" t="s">
        <v>15</v>
      </c>
      <c r="D59" t="s">
        <v>47</v>
      </c>
      <c r="E59" t="s">
        <v>48</v>
      </c>
      <c r="F59">
        <v>0</v>
      </c>
      <c r="G59">
        <v>0</v>
      </c>
      <c r="H59">
        <v>0</v>
      </c>
      <c r="I59">
        <v>0</v>
      </c>
      <c r="N59" s="7" t="s">
        <v>49</v>
      </c>
    </row>
    <row r="60" spans="1:14">
      <c r="A60" t="s">
        <v>175</v>
      </c>
      <c r="B60" t="s">
        <v>46</v>
      </c>
      <c r="C60" s="6" t="s">
        <v>15</v>
      </c>
      <c r="D60" t="s">
        <v>47</v>
      </c>
      <c r="E60" t="s">
        <v>48</v>
      </c>
      <c r="F60">
        <v>0</v>
      </c>
      <c r="G60">
        <v>0</v>
      </c>
      <c r="H60">
        <v>0</v>
      </c>
      <c r="I60">
        <v>0</v>
      </c>
      <c r="N60" s="7" t="s">
        <v>49</v>
      </c>
    </row>
    <row r="61" spans="1:14">
      <c r="A61" t="s">
        <v>176</v>
      </c>
      <c r="B61" t="s">
        <v>46</v>
      </c>
      <c r="C61" s="6" t="s">
        <v>15</v>
      </c>
      <c r="D61" t="s">
        <v>47</v>
      </c>
      <c r="E61" t="s">
        <v>48</v>
      </c>
      <c r="F61">
        <v>0</v>
      </c>
      <c r="G61">
        <v>0</v>
      </c>
      <c r="H61">
        <v>0</v>
      </c>
      <c r="I61">
        <v>0</v>
      </c>
      <c r="N61" s="7" t="s">
        <v>49</v>
      </c>
    </row>
    <row r="62" spans="1:14">
      <c r="A62" t="s">
        <v>177</v>
      </c>
      <c r="B62" t="s">
        <v>46</v>
      </c>
      <c r="C62" s="6" t="s">
        <v>15</v>
      </c>
      <c r="D62" t="s">
        <v>47</v>
      </c>
      <c r="E62" t="s">
        <v>48</v>
      </c>
      <c r="F62">
        <v>0</v>
      </c>
      <c r="G62">
        <v>0</v>
      </c>
      <c r="H62">
        <v>0</v>
      </c>
      <c r="I62">
        <v>0</v>
      </c>
      <c r="N62" s="7" t="s">
        <v>49</v>
      </c>
    </row>
    <row r="63" spans="1:14">
      <c r="A63" t="s">
        <v>178</v>
      </c>
      <c r="B63" t="s">
        <v>46</v>
      </c>
      <c r="C63" s="6" t="s">
        <v>15</v>
      </c>
      <c r="D63" t="s">
        <v>47</v>
      </c>
      <c r="E63" t="s">
        <v>48</v>
      </c>
      <c r="F63">
        <v>0</v>
      </c>
      <c r="G63">
        <v>0</v>
      </c>
      <c r="H63">
        <v>0</v>
      </c>
      <c r="I63">
        <v>0</v>
      </c>
      <c r="N63" s="7" t="s">
        <v>49</v>
      </c>
    </row>
    <row r="64" spans="1:14">
      <c r="A64" t="s">
        <v>179</v>
      </c>
      <c r="B64" t="s">
        <v>46</v>
      </c>
      <c r="C64" s="6" t="s">
        <v>15</v>
      </c>
      <c r="D64" t="s">
        <v>47</v>
      </c>
      <c r="E64" t="s">
        <v>48</v>
      </c>
      <c r="F64">
        <v>0</v>
      </c>
      <c r="G64">
        <v>0</v>
      </c>
      <c r="H64">
        <v>0</v>
      </c>
      <c r="I64">
        <v>0</v>
      </c>
      <c r="N64" s="7" t="s">
        <v>49</v>
      </c>
    </row>
    <row r="65" spans="1:14">
      <c r="A65" t="s">
        <v>180</v>
      </c>
      <c r="B65" t="s">
        <v>46</v>
      </c>
      <c r="C65" s="6" t="s">
        <v>15</v>
      </c>
      <c r="D65" t="s">
        <v>47</v>
      </c>
      <c r="E65" t="s">
        <v>48</v>
      </c>
      <c r="F65">
        <v>0</v>
      </c>
      <c r="G65">
        <v>0</v>
      </c>
      <c r="H65">
        <v>0</v>
      </c>
      <c r="I65">
        <v>0</v>
      </c>
      <c r="N65" s="7" t="s">
        <v>49</v>
      </c>
    </row>
    <row r="66" spans="1:14">
      <c r="A66" t="s">
        <v>181</v>
      </c>
      <c r="B66" t="s">
        <v>46</v>
      </c>
      <c r="C66" s="6" t="s">
        <v>15</v>
      </c>
      <c r="D66" t="s">
        <v>47</v>
      </c>
      <c r="E66" t="s">
        <v>48</v>
      </c>
      <c r="F66">
        <v>0</v>
      </c>
      <c r="G66">
        <v>0</v>
      </c>
      <c r="H66">
        <v>0</v>
      </c>
      <c r="I66">
        <v>0</v>
      </c>
      <c r="N66" s="7" t="s">
        <v>49</v>
      </c>
    </row>
    <row r="67" spans="1:14">
      <c r="A67" t="s">
        <v>182</v>
      </c>
      <c r="B67" t="s">
        <v>46</v>
      </c>
      <c r="C67" s="6" t="s">
        <v>15</v>
      </c>
      <c r="D67" t="s">
        <v>47</v>
      </c>
      <c r="E67" t="s">
        <v>48</v>
      </c>
      <c r="F67">
        <v>0</v>
      </c>
      <c r="G67">
        <v>0</v>
      </c>
      <c r="H67">
        <v>0</v>
      </c>
      <c r="I67">
        <v>0</v>
      </c>
      <c r="N67" s="7" t="s">
        <v>49</v>
      </c>
    </row>
    <row r="68" spans="1:14">
      <c r="A68" t="s">
        <v>183</v>
      </c>
      <c r="B68" t="s">
        <v>46</v>
      </c>
      <c r="C68" s="6" t="s">
        <v>15</v>
      </c>
      <c r="D68" t="s">
        <v>47</v>
      </c>
      <c r="E68" t="s">
        <v>48</v>
      </c>
      <c r="F68">
        <v>0</v>
      </c>
      <c r="G68">
        <v>0</v>
      </c>
      <c r="H68">
        <v>0</v>
      </c>
      <c r="I68">
        <v>0</v>
      </c>
      <c r="N68" s="7" t="s">
        <v>49</v>
      </c>
    </row>
    <row r="69" spans="1:14">
      <c r="A69" t="s">
        <v>184</v>
      </c>
      <c r="B69" t="s">
        <v>46</v>
      </c>
      <c r="C69" s="6" t="s">
        <v>15</v>
      </c>
      <c r="D69" t="s">
        <v>47</v>
      </c>
      <c r="E69" t="s">
        <v>48</v>
      </c>
      <c r="F69">
        <v>0</v>
      </c>
      <c r="G69">
        <v>0</v>
      </c>
      <c r="H69">
        <v>0</v>
      </c>
      <c r="I69">
        <v>0</v>
      </c>
      <c r="N69" s="7" t="s">
        <v>49</v>
      </c>
    </row>
    <row r="70" spans="1:14">
      <c r="A70" t="s">
        <v>185</v>
      </c>
      <c r="B70" t="s">
        <v>46</v>
      </c>
      <c r="C70" s="6" t="s">
        <v>15</v>
      </c>
      <c r="D70" t="s">
        <v>47</v>
      </c>
      <c r="E70" t="s">
        <v>48</v>
      </c>
      <c r="F70">
        <v>0</v>
      </c>
      <c r="G70">
        <v>0</v>
      </c>
      <c r="H70">
        <v>0</v>
      </c>
      <c r="I70">
        <v>0</v>
      </c>
      <c r="N70" s="7" t="s">
        <v>49</v>
      </c>
    </row>
    <row r="71" spans="1:14">
      <c r="A71" t="s">
        <v>186</v>
      </c>
      <c r="B71" t="s">
        <v>46</v>
      </c>
      <c r="C71" s="6" t="s">
        <v>15</v>
      </c>
      <c r="D71" t="s">
        <v>47</v>
      </c>
      <c r="E71" t="s">
        <v>48</v>
      </c>
      <c r="F71">
        <v>0</v>
      </c>
      <c r="G71">
        <v>0</v>
      </c>
      <c r="H71">
        <v>0</v>
      </c>
      <c r="I71">
        <v>0</v>
      </c>
      <c r="N71" s="7" t="s">
        <v>49</v>
      </c>
    </row>
    <row r="72" spans="1:14">
      <c r="A72" t="s">
        <v>187</v>
      </c>
      <c r="B72" t="s">
        <v>46</v>
      </c>
      <c r="C72" s="6" t="s">
        <v>15</v>
      </c>
      <c r="D72" t="s">
        <v>47</v>
      </c>
      <c r="E72" t="s">
        <v>48</v>
      </c>
      <c r="F72">
        <v>0</v>
      </c>
      <c r="G72">
        <v>0</v>
      </c>
      <c r="H72">
        <v>0</v>
      </c>
      <c r="I72">
        <v>0</v>
      </c>
      <c r="N72" s="7" t="s">
        <v>49</v>
      </c>
    </row>
    <row r="73" spans="1:14">
      <c r="A73" t="s">
        <v>188</v>
      </c>
      <c r="B73" t="s">
        <v>46</v>
      </c>
      <c r="C73" s="6" t="s">
        <v>15</v>
      </c>
      <c r="D73" t="s">
        <v>47</v>
      </c>
      <c r="E73" t="s">
        <v>48</v>
      </c>
      <c r="F73">
        <v>0</v>
      </c>
      <c r="G73">
        <v>0</v>
      </c>
      <c r="H73">
        <v>0</v>
      </c>
      <c r="I73">
        <v>0</v>
      </c>
      <c r="N73" s="7" t="s">
        <v>49</v>
      </c>
    </row>
    <row r="74" spans="1:14">
      <c r="A74" t="s">
        <v>189</v>
      </c>
      <c r="B74" t="s">
        <v>46</v>
      </c>
      <c r="C74" s="6" t="s">
        <v>15</v>
      </c>
      <c r="D74" t="s">
        <v>47</v>
      </c>
      <c r="E74" t="s">
        <v>48</v>
      </c>
      <c r="F74">
        <v>0</v>
      </c>
      <c r="G74">
        <v>0</v>
      </c>
      <c r="H74">
        <v>0</v>
      </c>
      <c r="I74">
        <v>0</v>
      </c>
      <c r="N74" s="7" t="s">
        <v>49</v>
      </c>
    </row>
    <row r="75" spans="1:14">
      <c r="A75" t="s">
        <v>190</v>
      </c>
      <c r="B75" t="s">
        <v>46</v>
      </c>
      <c r="C75" s="6" t="s">
        <v>15</v>
      </c>
      <c r="D75" t="s">
        <v>47</v>
      </c>
      <c r="E75" t="s">
        <v>48</v>
      </c>
      <c r="F75">
        <v>0</v>
      </c>
      <c r="G75">
        <v>0</v>
      </c>
      <c r="H75">
        <v>0</v>
      </c>
      <c r="I75">
        <v>0</v>
      </c>
      <c r="N75" s="7" t="s">
        <v>49</v>
      </c>
    </row>
    <row r="76" spans="1:14">
      <c r="A76" t="s">
        <v>191</v>
      </c>
      <c r="B76" t="s">
        <v>46</v>
      </c>
      <c r="C76" s="6" t="s">
        <v>15</v>
      </c>
      <c r="D76" t="s">
        <v>47</v>
      </c>
      <c r="E76" t="s">
        <v>48</v>
      </c>
      <c r="F76">
        <v>0</v>
      </c>
      <c r="G76">
        <v>0</v>
      </c>
      <c r="H76">
        <v>0</v>
      </c>
      <c r="I76">
        <v>0</v>
      </c>
      <c r="N76" s="7" t="s">
        <v>49</v>
      </c>
    </row>
    <row r="77" spans="1:14">
      <c r="A77" t="s">
        <v>192</v>
      </c>
      <c r="B77" t="s">
        <v>46</v>
      </c>
      <c r="C77" s="6" t="s">
        <v>15</v>
      </c>
      <c r="D77" t="s">
        <v>47</v>
      </c>
      <c r="E77" t="s">
        <v>48</v>
      </c>
      <c r="F77">
        <v>0</v>
      </c>
      <c r="G77">
        <v>0</v>
      </c>
      <c r="H77">
        <v>0</v>
      </c>
      <c r="I77">
        <v>0</v>
      </c>
      <c r="N77" s="7" t="s">
        <v>49</v>
      </c>
    </row>
    <row r="78" spans="1:14">
      <c r="A78" t="s">
        <v>193</v>
      </c>
      <c r="B78" t="s">
        <v>46</v>
      </c>
      <c r="C78" s="6" t="s">
        <v>15</v>
      </c>
      <c r="D78" t="s">
        <v>47</v>
      </c>
      <c r="E78" t="s">
        <v>48</v>
      </c>
      <c r="F78">
        <v>0</v>
      </c>
      <c r="G78">
        <v>0</v>
      </c>
      <c r="H78">
        <v>0</v>
      </c>
      <c r="I78">
        <v>0</v>
      </c>
      <c r="N78" s="7" t="s">
        <v>49</v>
      </c>
    </row>
    <row r="79" spans="1:14">
      <c r="A79" t="s">
        <v>194</v>
      </c>
      <c r="B79" t="s">
        <v>46</v>
      </c>
      <c r="C79" s="6" t="s">
        <v>15</v>
      </c>
      <c r="D79" t="s">
        <v>47</v>
      </c>
      <c r="E79" t="s">
        <v>48</v>
      </c>
      <c r="F79">
        <v>0</v>
      </c>
      <c r="G79">
        <v>0</v>
      </c>
      <c r="H79">
        <v>0</v>
      </c>
      <c r="I79">
        <v>0</v>
      </c>
      <c r="N79" s="7" t="s">
        <v>49</v>
      </c>
    </row>
    <row r="80" spans="1:14">
      <c r="A80" t="s">
        <v>195</v>
      </c>
      <c r="B80" t="s">
        <v>46</v>
      </c>
      <c r="C80" s="6" t="s">
        <v>15</v>
      </c>
      <c r="D80" t="s">
        <v>47</v>
      </c>
      <c r="E80" t="s">
        <v>48</v>
      </c>
      <c r="F80">
        <v>0</v>
      </c>
      <c r="G80">
        <v>0</v>
      </c>
      <c r="H80">
        <v>0</v>
      </c>
      <c r="I80">
        <v>0</v>
      </c>
      <c r="N80" s="7" t="s">
        <v>49</v>
      </c>
    </row>
    <row r="81" spans="1:14">
      <c r="A81" t="s">
        <v>196</v>
      </c>
      <c r="B81" t="s">
        <v>46</v>
      </c>
      <c r="C81" s="6" t="s">
        <v>15</v>
      </c>
      <c r="D81" t="s">
        <v>47</v>
      </c>
      <c r="E81" t="s">
        <v>48</v>
      </c>
      <c r="F81">
        <v>0</v>
      </c>
      <c r="G81">
        <v>0</v>
      </c>
      <c r="H81">
        <v>0</v>
      </c>
      <c r="I81">
        <v>0</v>
      </c>
      <c r="N81" s="7" t="s">
        <v>49</v>
      </c>
    </row>
    <row r="82" spans="1:14">
      <c r="A82" t="s">
        <v>197</v>
      </c>
      <c r="B82" t="s">
        <v>46</v>
      </c>
      <c r="C82" s="6" t="s">
        <v>15</v>
      </c>
      <c r="D82" t="s">
        <v>47</v>
      </c>
      <c r="E82" t="s">
        <v>48</v>
      </c>
      <c r="F82">
        <v>0</v>
      </c>
      <c r="G82">
        <v>0</v>
      </c>
      <c r="H82">
        <v>0</v>
      </c>
      <c r="I82">
        <v>0</v>
      </c>
      <c r="N82" s="7" t="s">
        <v>49</v>
      </c>
    </row>
    <row r="83" spans="1:14">
      <c r="A83" t="s">
        <v>198</v>
      </c>
      <c r="B83" t="s">
        <v>46</v>
      </c>
      <c r="C83" s="6" t="s">
        <v>15</v>
      </c>
      <c r="D83" t="s">
        <v>47</v>
      </c>
      <c r="E83" t="s">
        <v>48</v>
      </c>
      <c r="F83">
        <v>0</v>
      </c>
      <c r="G83">
        <v>0</v>
      </c>
      <c r="H83">
        <v>0</v>
      </c>
      <c r="I83">
        <v>0</v>
      </c>
      <c r="N83" s="7" t="s">
        <v>49</v>
      </c>
    </row>
    <row r="84" spans="1:14">
      <c r="A84" t="s">
        <v>199</v>
      </c>
      <c r="B84" t="s">
        <v>46</v>
      </c>
      <c r="C84" s="6" t="s">
        <v>15</v>
      </c>
      <c r="D84" t="s">
        <v>47</v>
      </c>
      <c r="E84" t="s">
        <v>48</v>
      </c>
      <c r="F84">
        <v>0</v>
      </c>
      <c r="G84">
        <v>0</v>
      </c>
      <c r="H84">
        <v>0</v>
      </c>
      <c r="I84">
        <v>0</v>
      </c>
      <c r="N84" s="7" t="s">
        <v>49</v>
      </c>
    </row>
    <row r="85" spans="1:14">
      <c r="A85" t="s">
        <v>200</v>
      </c>
      <c r="B85" t="s">
        <v>46</v>
      </c>
      <c r="C85" s="6" t="s">
        <v>15</v>
      </c>
      <c r="D85" t="s">
        <v>47</v>
      </c>
      <c r="E85" t="s">
        <v>48</v>
      </c>
      <c r="F85">
        <v>0</v>
      </c>
      <c r="G85">
        <v>0</v>
      </c>
      <c r="H85">
        <v>0</v>
      </c>
      <c r="I85">
        <v>0</v>
      </c>
      <c r="N85" s="7" t="s">
        <v>49</v>
      </c>
    </row>
    <row r="86" spans="1:14">
      <c r="A86" t="s">
        <v>201</v>
      </c>
      <c r="B86" t="s">
        <v>46</v>
      </c>
      <c r="C86" s="6" t="s">
        <v>15</v>
      </c>
      <c r="D86" t="s">
        <v>47</v>
      </c>
      <c r="E86" t="s">
        <v>48</v>
      </c>
      <c r="F86">
        <v>0</v>
      </c>
      <c r="G86">
        <v>0</v>
      </c>
      <c r="H86">
        <v>0</v>
      </c>
      <c r="I86">
        <v>0</v>
      </c>
      <c r="N86" s="7" t="s">
        <v>49</v>
      </c>
    </row>
    <row r="87" spans="1:14">
      <c r="A87" t="s">
        <v>202</v>
      </c>
      <c r="B87" t="s">
        <v>46</v>
      </c>
      <c r="C87" s="6" t="s">
        <v>15</v>
      </c>
      <c r="D87" t="s">
        <v>47</v>
      </c>
      <c r="E87" t="s">
        <v>48</v>
      </c>
      <c r="F87">
        <v>0</v>
      </c>
      <c r="G87">
        <v>0</v>
      </c>
      <c r="H87">
        <v>0</v>
      </c>
      <c r="I87">
        <v>0</v>
      </c>
      <c r="N87" s="7" t="s">
        <v>49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P87" etc:filterBottomFollowUsedRange="1">
    <extLst/>
  </autoFilter>
  <mergeCells count="5">
    <mergeCell ref="K4:K5"/>
    <mergeCell ref="L4:L5"/>
    <mergeCell ref="M4:M5"/>
    <mergeCell ref="N4:N5"/>
    <mergeCell ref="O4:O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7"/>
  <sheetViews>
    <sheetView topLeftCell="A3" workbookViewId="0">
      <selection activeCell="A7" sqref="$A7:$XFD8"/>
    </sheetView>
  </sheetViews>
  <sheetFormatPr defaultColWidth="9.23333333333333" defaultRowHeight="13.5"/>
  <cols>
    <col min="1" max="1" width="46.9416666666667" customWidth="1"/>
    <col min="2" max="2" width="48.3916666666667" customWidth="1"/>
    <col min="3" max="3" width="55.7666666666667" customWidth="1"/>
    <col min="4" max="4" width="52.4" customWidth="1"/>
    <col min="5" max="5" width="51.275" style="2" customWidth="1"/>
    <col min="7" max="7" width="12.625" customWidth="1"/>
    <col min="8" max="8" width="15.6916666666667" customWidth="1"/>
    <col min="9" max="9" width="20.1833333333333" customWidth="1"/>
    <col min="10" max="10" width="10.375"/>
    <col min="11" max="11" width="6.375" customWidth="1"/>
    <col min="12" max="12" width="8.125" customWidth="1"/>
    <col min="13" max="13" width="6.375" customWidth="1"/>
    <col min="15" max="15" width="16" customWidth="1"/>
    <col min="16" max="16" width="6.375" style="3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K1" s="4" t="s">
        <v>9</v>
      </c>
      <c r="L1" s="4" t="s">
        <v>203</v>
      </c>
      <c r="M1" s="4" t="s">
        <v>11</v>
      </c>
      <c r="P1" s="5" t="s">
        <v>9</v>
      </c>
    </row>
    <row r="2" spans="1:16">
      <c r="A2" t="s">
        <v>13</v>
      </c>
      <c r="B2" t="s">
        <v>14</v>
      </c>
      <c r="C2" s="6" t="s">
        <v>15</v>
      </c>
      <c r="D2" t="s">
        <v>16</v>
      </c>
      <c r="E2" t="s">
        <v>17</v>
      </c>
      <c r="F2">
        <v>1287200</v>
      </c>
      <c r="G2">
        <v>0</v>
      </c>
      <c r="H2">
        <v>82461278</v>
      </c>
      <c r="I2">
        <v>342488731</v>
      </c>
      <c r="J2">
        <f t="shared" ref="J2:J55" si="0">SUM(F2:I2)</f>
        <v>426237209</v>
      </c>
      <c r="K2">
        <v>5115</v>
      </c>
      <c r="L2">
        <v>10230</v>
      </c>
      <c r="M2">
        <v>403</v>
      </c>
      <c r="N2" s="4" t="s">
        <v>18</v>
      </c>
      <c r="O2" s="4" t="s">
        <v>204</v>
      </c>
      <c r="P2" s="3">
        <v>40859</v>
      </c>
    </row>
    <row r="3" spans="1:16">
      <c r="A3" t="s">
        <v>21</v>
      </c>
      <c r="B3" t="s">
        <v>22</v>
      </c>
      <c r="C3" s="6" t="s">
        <v>15</v>
      </c>
      <c r="D3" t="s">
        <v>23</v>
      </c>
      <c r="E3" t="s">
        <v>24</v>
      </c>
      <c r="F3">
        <v>1317195</v>
      </c>
      <c r="G3">
        <v>0</v>
      </c>
      <c r="H3">
        <v>2207299</v>
      </c>
      <c r="I3">
        <v>80129189</v>
      </c>
      <c r="J3">
        <f t="shared" si="0"/>
        <v>83653683</v>
      </c>
      <c r="K3" s="4">
        <v>1004</v>
      </c>
      <c r="L3" s="4">
        <v>2008</v>
      </c>
      <c r="M3" s="4">
        <v>93</v>
      </c>
      <c r="N3" s="4" t="s">
        <v>25</v>
      </c>
      <c r="P3" s="5">
        <v>2356</v>
      </c>
    </row>
    <row r="4" spans="1:16">
      <c r="A4" t="s">
        <v>27</v>
      </c>
      <c r="B4" t="s">
        <v>28</v>
      </c>
      <c r="C4" t="s">
        <v>29</v>
      </c>
      <c r="D4" t="s">
        <v>30</v>
      </c>
      <c r="E4" t="s">
        <v>31</v>
      </c>
      <c r="F4">
        <v>1774129</v>
      </c>
      <c r="G4">
        <v>8755952</v>
      </c>
      <c r="H4">
        <v>10589074</v>
      </c>
      <c r="I4">
        <v>47784090</v>
      </c>
      <c r="J4">
        <f t="shared" si="0"/>
        <v>68903245</v>
      </c>
      <c r="N4" s="4" t="s">
        <v>32</v>
      </c>
    </row>
    <row r="5" spans="1:16">
      <c r="A5" t="s">
        <v>35</v>
      </c>
      <c r="B5" t="s">
        <v>36</v>
      </c>
      <c r="C5" s="6" t="s">
        <v>15</v>
      </c>
      <c r="D5" t="s">
        <v>37</v>
      </c>
      <c r="E5" t="s">
        <v>38</v>
      </c>
      <c r="F5">
        <v>1060744</v>
      </c>
      <c r="G5">
        <v>0</v>
      </c>
      <c r="H5">
        <v>59158018</v>
      </c>
      <c r="I5">
        <v>78376995</v>
      </c>
      <c r="J5">
        <f t="shared" si="0"/>
        <v>138595757</v>
      </c>
      <c r="K5">
        <v>1664</v>
      </c>
      <c r="L5">
        <v>3328</v>
      </c>
      <c r="M5">
        <v>124</v>
      </c>
      <c r="N5" s="7"/>
      <c r="O5" s="4" t="s">
        <v>205</v>
      </c>
      <c r="P5" s="3">
        <v>6317</v>
      </c>
    </row>
    <row r="6" spans="1:16">
      <c r="A6" t="s">
        <v>39</v>
      </c>
      <c r="B6" t="s">
        <v>40</v>
      </c>
      <c r="C6" s="6" t="s">
        <v>15</v>
      </c>
      <c r="D6" t="s">
        <v>41</v>
      </c>
      <c r="E6" t="s">
        <v>42</v>
      </c>
      <c r="F6">
        <v>4460524</v>
      </c>
      <c r="G6">
        <v>0</v>
      </c>
      <c r="H6">
        <v>38690250</v>
      </c>
      <c r="I6">
        <v>44871586</v>
      </c>
      <c r="J6">
        <f t="shared" si="0"/>
        <v>88022360</v>
      </c>
      <c r="K6">
        <v>1057</v>
      </c>
      <c r="L6">
        <v>2114</v>
      </c>
      <c r="M6">
        <v>93</v>
      </c>
      <c r="N6" s="7"/>
      <c r="P6" s="3">
        <v>22557</v>
      </c>
    </row>
    <row r="7" spans="1:16">
      <c r="A7" t="s">
        <v>45</v>
      </c>
      <c r="B7" t="s">
        <v>46</v>
      </c>
      <c r="C7" s="6" t="s">
        <v>15</v>
      </c>
      <c r="D7" t="s">
        <v>47</v>
      </c>
      <c r="E7" t="s">
        <v>48</v>
      </c>
      <c r="F7">
        <v>50573</v>
      </c>
      <c r="G7">
        <v>0</v>
      </c>
      <c r="H7">
        <v>12382183</v>
      </c>
      <c r="I7">
        <v>51792257</v>
      </c>
      <c r="J7">
        <f t="shared" si="0"/>
        <v>64225013</v>
      </c>
    </row>
    <row r="8" spans="1:16">
      <c r="A8" t="s">
        <v>51</v>
      </c>
      <c r="B8" t="s">
        <v>52</v>
      </c>
      <c r="C8" s="6" t="s">
        <v>15</v>
      </c>
      <c r="D8" t="s">
        <v>53</v>
      </c>
      <c r="E8" t="s">
        <v>54</v>
      </c>
      <c r="F8">
        <v>105507</v>
      </c>
      <c r="G8">
        <v>0</v>
      </c>
      <c r="H8">
        <v>9201448</v>
      </c>
      <c r="I8">
        <v>21448168</v>
      </c>
      <c r="J8">
        <f t="shared" si="0"/>
        <v>30755123</v>
      </c>
    </row>
    <row r="9" spans="1:16">
      <c r="A9" t="s">
        <v>55</v>
      </c>
      <c r="B9" t="s">
        <v>56</v>
      </c>
      <c r="C9" s="6" t="s">
        <v>15</v>
      </c>
      <c r="D9" t="s">
        <v>57</v>
      </c>
      <c r="E9" t="s">
        <v>58</v>
      </c>
      <c r="F9">
        <v>4851006</v>
      </c>
      <c r="G9">
        <v>0</v>
      </c>
      <c r="H9">
        <v>4850124</v>
      </c>
      <c r="I9">
        <v>4860616</v>
      </c>
      <c r="J9">
        <f t="shared" si="0"/>
        <v>14561746</v>
      </c>
    </row>
    <row r="10" spans="1:16">
      <c r="A10" t="s">
        <v>59</v>
      </c>
      <c r="B10" t="s">
        <v>46</v>
      </c>
      <c r="C10" s="6" t="s">
        <v>15</v>
      </c>
      <c r="D10" t="s">
        <v>47</v>
      </c>
      <c r="E10" t="s">
        <v>48</v>
      </c>
      <c r="F10">
        <v>93876</v>
      </c>
      <c r="G10">
        <v>0</v>
      </c>
      <c r="H10">
        <v>862996</v>
      </c>
      <c r="I10">
        <v>9042075</v>
      </c>
      <c r="J10">
        <f t="shared" si="0"/>
        <v>9998947</v>
      </c>
    </row>
    <row r="11" spans="1:16">
      <c r="A11" t="s">
        <v>60</v>
      </c>
      <c r="B11" t="s">
        <v>61</v>
      </c>
      <c r="C11" s="6" t="s">
        <v>15</v>
      </c>
      <c r="D11" t="s">
        <v>62</v>
      </c>
      <c r="E11" t="s">
        <v>63</v>
      </c>
      <c r="F11">
        <v>1214790</v>
      </c>
      <c r="G11">
        <v>908</v>
      </c>
      <c r="H11">
        <v>1267987</v>
      </c>
      <c r="I11">
        <v>7224549</v>
      </c>
      <c r="J11">
        <f t="shared" si="0"/>
        <v>9708234</v>
      </c>
    </row>
    <row r="12" spans="1:16">
      <c r="A12" t="s">
        <v>64</v>
      </c>
      <c r="B12" t="s">
        <v>65</v>
      </c>
      <c r="C12" s="6" t="s">
        <v>15</v>
      </c>
      <c r="D12" t="s">
        <v>66</v>
      </c>
      <c r="E12" t="s">
        <v>67</v>
      </c>
      <c r="F12">
        <v>563845</v>
      </c>
      <c r="G12">
        <v>0</v>
      </c>
      <c r="H12">
        <v>1943846</v>
      </c>
      <c r="I12">
        <v>6223589</v>
      </c>
      <c r="J12">
        <f t="shared" si="0"/>
        <v>8731280</v>
      </c>
    </row>
    <row r="13" spans="1:16">
      <c r="A13" t="s">
        <v>68</v>
      </c>
      <c r="B13" t="s">
        <v>69</v>
      </c>
      <c r="C13" s="6" t="s">
        <v>15</v>
      </c>
      <c r="D13" t="s">
        <v>70</v>
      </c>
      <c r="E13" t="s">
        <v>71</v>
      </c>
      <c r="F13">
        <v>53943</v>
      </c>
      <c r="G13">
        <v>0</v>
      </c>
      <c r="H13">
        <v>743201</v>
      </c>
      <c r="I13">
        <v>6691292</v>
      </c>
      <c r="J13">
        <f t="shared" si="0"/>
        <v>7488436</v>
      </c>
    </row>
    <row r="14" spans="1:16">
      <c r="A14" t="s">
        <v>72</v>
      </c>
      <c r="B14" t="s">
        <v>73</v>
      </c>
      <c r="C14" s="6" t="s">
        <v>15</v>
      </c>
      <c r="D14" t="s">
        <v>74</v>
      </c>
      <c r="E14" t="s">
        <v>75</v>
      </c>
      <c r="F14">
        <v>32998</v>
      </c>
      <c r="G14">
        <v>0</v>
      </c>
      <c r="H14">
        <v>577604</v>
      </c>
      <c r="I14">
        <v>2983395</v>
      </c>
      <c r="J14">
        <f t="shared" si="0"/>
        <v>3593997</v>
      </c>
    </row>
    <row r="15" spans="1:16">
      <c r="A15" t="s">
        <v>76</v>
      </c>
      <c r="B15" t="s">
        <v>77</v>
      </c>
      <c r="C15" s="6" t="s">
        <v>15</v>
      </c>
      <c r="D15" t="s">
        <v>78</v>
      </c>
      <c r="E15" t="s">
        <v>79</v>
      </c>
      <c r="F15">
        <v>247677</v>
      </c>
      <c r="G15">
        <v>0</v>
      </c>
      <c r="H15">
        <v>1641968</v>
      </c>
      <c r="I15">
        <v>1558296</v>
      </c>
      <c r="J15">
        <f t="shared" si="0"/>
        <v>3447941</v>
      </c>
    </row>
    <row r="16" spans="1:16">
      <c r="A16" t="s">
        <v>80</v>
      </c>
      <c r="B16" t="s">
        <v>81</v>
      </c>
      <c r="C16" s="6" t="s">
        <v>15</v>
      </c>
      <c r="D16" t="s">
        <v>82</v>
      </c>
      <c r="E16" t="s">
        <v>83</v>
      </c>
      <c r="F16">
        <v>39163</v>
      </c>
      <c r="G16">
        <v>0</v>
      </c>
      <c r="H16">
        <v>652822</v>
      </c>
      <c r="I16">
        <v>2041304</v>
      </c>
      <c r="J16">
        <f t="shared" si="0"/>
        <v>2733289</v>
      </c>
    </row>
    <row r="17" spans="1:10">
      <c r="A17" t="s">
        <v>84</v>
      </c>
      <c r="B17" t="s">
        <v>85</v>
      </c>
      <c r="C17" s="6" t="s">
        <v>15</v>
      </c>
      <c r="D17" t="s">
        <v>86</v>
      </c>
      <c r="E17" t="s">
        <v>87</v>
      </c>
      <c r="F17">
        <v>90307</v>
      </c>
      <c r="G17">
        <v>0</v>
      </c>
      <c r="H17">
        <v>603457</v>
      </c>
      <c r="I17">
        <v>1930834</v>
      </c>
      <c r="J17">
        <f t="shared" si="0"/>
        <v>2624598</v>
      </c>
    </row>
    <row r="18" spans="1:10">
      <c r="A18" t="s">
        <v>88</v>
      </c>
      <c r="B18" t="s">
        <v>89</v>
      </c>
      <c r="C18" s="6" t="s">
        <v>15</v>
      </c>
      <c r="D18" t="s">
        <v>90</v>
      </c>
      <c r="E18" t="s">
        <v>91</v>
      </c>
      <c r="F18">
        <v>281186</v>
      </c>
      <c r="G18">
        <v>0</v>
      </c>
      <c r="H18">
        <v>294944</v>
      </c>
      <c r="I18">
        <v>1095644</v>
      </c>
      <c r="J18">
        <f t="shared" si="0"/>
        <v>1671774</v>
      </c>
    </row>
    <row r="19" spans="1:10">
      <c r="A19" t="s">
        <v>92</v>
      </c>
      <c r="B19" t="s">
        <v>93</v>
      </c>
      <c r="C19" s="6" t="s">
        <v>15</v>
      </c>
      <c r="D19" t="s">
        <v>94</v>
      </c>
      <c r="E19" t="s">
        <v>95</v>
      </c>
      <c r="F19">
        <v>514</v>
      </c>
      <c r="G19">
        <v>0</v>
      </c>
      <c r="H19">
        <v>629351</v>
      </c>
      <c r="I19">
        <v>529957</v>
      </c>
      <c r="J19">
        <f t="shared" si="0"/>
        <v>1159822</v>
      </c>
    </row>
    <row r="20" spans="1:10">
      <c r="A20" t="s">
        <v>96</v>
      </c>
      <c r="B20" t="s">
        <v>97</v>
      </c>
      <c r="C20" s="6" t="s">
        <v>15</v>
      </c>
      <c r="D20" t="s">
        <v>98</v>
      </c>
      <c r="E20" t="s">
        <v>99</v>
      </c>
      <c r="F20">
        <v>2793</v>
      </c>
      <c r="G20">
        <v>0</v>
      </c>
      <c r="H20">
        <v>87207</v>
      </c>
      <c r="I20">
        <v>519263</v>
      </c>
      <c r="J20">
        <f t="shared" si="0"/>
        <v>609263</v>
      </c>
    </row>
    <row r="21" spans="1:10">
      <c r="A21" t="s">
        <v>100</v>
      </c>
      <c r="B21" t="s">
        <v>101</v>
      </c>
      <c r="C21" s="6" t="s">
        <v>15</v>
      </c>
      <c r="D21" t="s">
        <v>102</v>
      </c>
      <c r="E21" t="s">
        <v>103</v>
      </c>
      <c r="F21">
        <v>25634</v>
      </c>
      <c r="G21">
        <v>0</v>
      </c>
      <c r="H21">
        <v>255696</v>
      </c>
      <c r="I21">
        <v>311300</v>
      </c>
      <c r="J21">
        <f t="shared" si="0"/>
        <v>592630</v>
      </c>
    </row>
    <row r="22" spans="1:10">
      <c r="A22" t="s">
        <v>104</v>
      </c>
      <c r="B22" t="s">
        <v>46</v>
      </c>
      <c r="C22" s="6" t="s">
        <v>15</v>
      </c>
      <c r="D22" t="s">
        <v>47</v>
      </c>
      <c r="E22" t="s">
        <v>48</v>
      </c>
      <c r="F22">
        <v>12355</v>
      </c>
      <c r="G22">
        <v>0</v>
      </c>
      <c r="H22">
        <v>146737</v>
      </c>
      <c r="I22">
        <v>390656</v>
      </c>
      <c r="J22">
        <f t="shared" si="0"/>
        <v>549748</v>
      </c>
    </row>
    <row r="23" spans="1:10">
      <c r="A23" t="s">
        <v>105</v>
      </c>
      <c r="B23" t="s">
        <v>106</v>
      </c>
      <c r="C23" s="6" t="s">
        <v>15</v>
      </c>
      <c r="D23" t="s">
        <v>107</v>
      </c>
      <c r="E23" t="s">
        <v>108</v>
      </c>
      <c r="F23">
        <v>38375</v>
      </c>
      <c r="G23">
        <v>0</v>
      </c>
      <c r="H23">
        <v>182180</v>
      </c>
      <c r="I23">
        <v>182221</v>
      </c>
      <c r="J23">
        <f t="shared" si="0"/>
        <v>402776</v>
      </c>
    </row>
    <row r="24" spans="1:10">
      <c r="A24" t="s">
        <v>109</v>
      </c>
      <c r="B24" t="s">
        <v>110</v>
      </c>
      <c r="C24" s="6" t="s">
        <v>15</v>
      </c>
      <c r="D24" t="s">
        <v>111</v>
      </c>
      <c r="E24" t="s">
        <v>112</v>
      </c>
      <c r="F24">
        <v>8728</v>
      </c>
      <c r="G24">
        <v>0</v>
      </c>
      <c r="H24">
        <v>206892</v>
      </c>
      <c r="I24">
        <v>145228</v>
      </c>
      <c r="J24">
        <f t="shared" si="0"/>
        <v>360848</v>
      </c>
    </row>
    <row r="25" spans="1:10">
      <c r="A25" t="s">
        <v>113</v>
      </c>
      <c r="B25" t="s">
        <v>46</v>
      </c>
      <c r="C25" s="6" t="s">
        <v>15</v>
      </c>
      <c r="D25" t="s">
        <v>47</v>
      </c>
      <c r="E25" t="s">
        <v>48</v>
      </c>
      <c r="F25">
        <v>2413</v>
      </c>
      <c r="G25">
        <v>0</v>
      </c>
      <c r="H25">
        <v>45289</v>
      </c>
      <c r="I25">
        <v>250458</v>
      </c>
      <c r="J25">
        <f t="shared" si="0"/>
        <v>298160</v>
      </c>
    </row>
    <row r="26" spans="1:10">
      <c r="A26" t="s">
        <v>114</v>
      </c>
      <c r="B26" t="s">
        <v>115</v>
      </c>
      <c r="C26" s="6" t="s">
        <v>15</v>
      </c>
      <c r="D26" t="s">
        <v>116</v>
      </c>
      <c r="E26" t="s">
        <v>117</v>
      </c>
      <c r="F26">
        <v>634</v>
      </c>
      <c r="G26">
        <v>0</v>
      </c>
      <c r="H26">
        <v>53209</v>
      </c>
      <c r="I26">
        <v>227408</v>
      </c>
      <c r="J26">
        <f t="shared" si="0"/>
        <v>281251</v>
      </c>
    </row>
    <row r="27" spans="1:10">
      <c r="A27" t="s">
        <v>118</v>
      </c>
      <c r="B27" t="s">
        <v>119</v>
      </c>
      <c r="C27" s="6" t="s">
        <v>15</v>
      </c>
      <c r="D27" t="s">
        <v>120</v>
      </c>
      <c r="E27" t="s">
        <v>121</v>
      </c>
      <c r="F27">
        <v>39214</v>
      </c>
      <c r="G27">
        <v>8589</v>
      </c>
      <c r="H27">
        <v>28191</v>
      </c>
      <c r="I27">
        <v>127333</v>
      </c>
      <c r="J27">
        <f t="shared" si="0"/>
        <v>203327</v>
      </c>
    </row>
    <row r="28" spans="1:10">
      <c r="A28" t="s">
        <v>122</v>
      </c>
      <c r="B28" t="s">
        <v>46</v>
      </c>
      <c r="C28" s="6" t="s">
        <v>15</v>
      </c>
      <c r="D28" t="s">
        <v>47</v>
      </c>
      <c r="E28" t="s">
        <v>48</v>
      </c>
      <c r="F28">
        <v>59098</v>
      </c>
      <c r="G28">
        <v>0</v>
      </c>
      <c r="H28">
        <v>59089</v>
      </c>
      <c r="I28">
        <v>58325</v>
      </c>
      <c r="J28">
        <f t="shared" si="0"/>
        <v>176512</v>
      </c>
    </row>
    <row r="29" spans="1:10">
      <c r="A29" t="s">
        <v>123</v>
      </c>
      <c r="B29" t="s">
        <v>124</v>
      </c>
      <c r="C29" s="6" t="s">
        <v>15</v>
      </c>
      <c r="D29" t="s">
        <v>125</v>
      </c>
      <c r="E29" t="s">
        <v>126</v>
      </c>
      <c r="F29">
        <v>572</v>
      </c>
      <c r="G29">
        <v>0</v>
      </c>
      <c r="H29">
        <v>32728</v>
      </c>
      <c r="I29">
        <v>116851</v>
      </c>
      <c r="J29">
        <f t="shared" si="0"/>
        <v>150151</v>
      </c>
    </row>
    <row r="30" spans="1:10">
      <c r="A30" t="s">
        <v>127</v>
      </c>
      <c r="B30" t="s">
        <v>46</v>
      </c>
      <c r="C30" s="6" t="s">
        <v>15</v>
      </c>
      <c r="D30" t="s">
        <v>47</v>
      </c>
      <c r="E30" t="s">
        <v>48</v>
      </c>
      <c r="F30">
        <v>12055</v>
      </c>
      <c r="G30">
        <v>132864</v>
      </c>
      <c r="H30">
        <v>0</v>
      </c>
      <c r="I30">
        <v>0</v>
      </c>
      <c r="J30">
        <f t="shared" si="0"/>
        <v>144919</v>
      </c>
    </row>
    <row r="31" spans="1:10">
      <c r="A31" t="s">
        <v>128</v>
      </c>
      <c r="B31" t="s">
        <v>46</v>
      </c>
      <c r="C31" s="6" t="s">
        <v>15</v>
      </c>
      <c r="D31" t="s">
        <v>47</v>
      </c>
      <c r="E31" t="s">
        <v>48</v>
      </c>
      <c r="F31">
        <v>1069</v>
      </c>
      <c r="G31">
        <v>0</v>
      </c>
      <c r="H31">
        <v>14427</v>
      </c>
      <c r="I31">
        <v>39225</v>
      </c>
      <c r="J31">
        <f t="shared" si="0"/>
        <v>54721</v>
      </c>
    </row>
    <row r="32" spans="1:10">
      <c r="A32" t="s">
        <v>129</v>
      </c>
      <c r="B32" t="s">
        <v>46</v>
      </c>
      <c r="C32" s="6" t="s">
        <v>15</v>
      </c>
      <c r="D32" t="s">
        <v>47</v>
      </c>
      <c r="E32" t="s">
        <v>48</v>
      </c>
      <c r="F32">
        <v>20212</v>
      </c>
      <c r="G32">
        <v>0</v>
      </c>
      <c r="H32">
        <v>20972</v>
      </c>
      <c r="I32">
        <v>6379</v>
      </c>
      <c r="J32">
        <f t="shared" si="0"/>
        <v>47563</v>
      </c>
    </row>
    <row r="33" spans="1:10">
      <c r="A33" t="s">
        <v>130</v>
      </c>
      <c r="B33" t="s">
        <v>131</v>
      </c>
      <c r="C33" s="6" t="s">
        <v>15</v>
      </c>
      <c r="D33" t="s">
        <v>132</v>
      </c>
      <c r="E33" t="s">
        <v>133</v>
      </c>
      <c r="F33">
        <v>1978</v>
      </c>
      <c r="G33">
        <v>0</v>
      </c>
      <c r="H33">
        <v>10916</v>
      </c>
      <c r="I33">
        <v>27684</v>
      </c>
      <c r="J33">
        <f t="shared" si="0"/>
        <v>40578</v>
      </c>
    </row>
    <row r="34" spans="1:10">
      <c r="A34" t="s">
        <v>134</v>
      </c>
      <c r="B34" t="s">
        <v>46</v>
      </c>
      <c r="C34" s="6" t="s">
        <v>15</v>
      </c>
      <c r="D34" t="s">
        <v>47</v>
      </c>
      <c r="E34" t="s">
        <v>48</v>
      </c>
      <c r="F34">
        <v>1548</v>
      </c>
      <c r="G34">
        <v>0</v>
      </c>
      <c r="H34">
        <v>8806</v>
      </c>
      <c r="I34">
        <v>24547</v>
      </c>
      <c r="J34">
        <f t="shared" si="0"/>
        <v>34901</v>
      </c>
    </row>
    <row r="35" spans="1:10">
      <c r="A35" t="s">
        <v>135</v>
      </c>
      <c r="B35" t="s">
        <v>46</v>
      </c>
      <c r="C35" s="6" t="s">
        <v>15</v>
      </c>
      <c r="D35" t="s">
        <v>47</v>
      </c>
      <c r="E35" t="s">
        <v>48</v>
      </c>
      <c r="F35">
        <v>854</v>
      </c>
      <c r="G35">
        <v>0</v>
      </c>
      <c r="H35">
        <v>854</v>
      </c>
      <c r="I35">
        <v>32224</v>
      </c>
      <c r="J35">
        <f t="shared" si="0"/>
        <v>33932</v>
      </c>
    </row>
    <row r="36" spans="1:10">
      <c r="A36" t="s">
        <v>136</v>
      </c>
      <c r="B36" t="s">
        <v>137</v>
      </c>
      <c r="C36" s="6" t="s">
        <v>15</v>
      </c>
      <c r="D36" t="s">
        <v>138</v>
      </c>
      <c r="E36" t="s">
        <v>139</v>
      </c>
      <c r="F36">
        <v>176</v>
      </c>
      <c r="G36">
        <v>0</v>
      </c>
      <c r="H36">
        <v>5515</v>
      </c>
      <c r="I36">
        <v>28120</v>
      </c>
      <c r="J36">
        <f t="shared" si="0"/>
        <v>33811</v>
      </c>
    </row>
    <row r="37" spans="1:10">
      <c r="A37" t="s">
        <v>140</v>
      </c>
      <c r="B37" t="s">
        <v>46</v>
      </c>
      <c r="C37" s="6" t="s">
        <v>15</v>
      </c>
      <c r="D37" t="s">
        <v>47</v>
      </c>
      <c r="E37" t="s">
        <v>48</v>
      </c>
      <c r="F37">
        <v>6862</v>
      </c>
      <c r="G37">
        <v>0</v>
      </c>
      <c r="H37">
        <v>7291</v>
      </c>
      <c r="I37">
        <v>7260</v>
      </c>
      <c r="J37">
        <f t="shared" si="0"/>
        <v>21413</v>
      </c>
    </row>
    <row r="38" spans="1:10">
      <c r="A38" t="s">
        <v>141</v>
      </c>
      <c r="B38" t="s">
        <v>142</v>
      </c>
      <c r="C38" s="6" t="s">
        <v>15</v>
      </c>
      <c r="D38" t="s">
        <v>143</v>
      </c>
      <c r="E38" t="s">
        <v>144</v>
      </c>
      <c r="F38">
        <v>130</v>
      </c>
      <c r="G38">
        <v>0</v>
      </c>
      <c r="H38">
        <v>2514</v>
      </c>
      <c r="I38">
        <v>14530</v>
      </c>
      <c r="J38">
        <f t="shared" si="0"/>
        <v>17174</v>
      </c>
    </row>
    <row r="39" spans="1:10">
      <c r="A39" t="s">
        <v>145</v>
      </c>
      <c r="B39" t="s">
        <v>146</v>
      </c>
      <c r="C39" s="6" t="s">
        <v>15</v>
      </c>
      <c r="D39" t="s">
        <v>147</v>
      </c>
      <c r="E39" t="s">
        <v>148</v>
      </c>
      <c r="F39">
        <v>233</v>
      </c>
      <c r="G39">
        <v>0</v>
      </c>
      <c r="H39">
        <v>2878</v>
      </c>
      <c r="I39">
        <v>13939</v>
      </c>
      <c r="J39">
        <f t="shared" si="0"/>
        <v>17050</v>
      </c>
    </row>
    <row r="40" spans="1:10">
      <c r="A40" t="s">
        <v>149</v>
      </c>
      <c r="B40" t="s">
        <v>150</v>
      </c>
      <c r="C40" s="6" t="s">
        <v>15</v>
      </c>
      <c r="D40" t="s">
        <v>151</v>
      </c>
      <c r="E40" t="s">
        <v>152</v>
      </c>
      <c r="F40">
        <v>1698</v>
      </c>
      <c r="G40">
        <v>0</v>
      </c>
      <c r="H40">
        <v>3307</v>
      </c>
      <c r="I40">
        <v>11955</v>
      </c>
      <c r="J40">
        <f t="shared" si="0"/>
        <v>16960</v>
      </c>
    </row>
    <row r="41" spans="1:10">
      <c r="A41" t="s">
        <v>153</v>
      </c>
      <c r="B41" t="s">
        <v>46</v>
      </c>
      <c r="C41" s="6" t="s">
        <v>15</v>
      </c>
      <c r="D41" t="s">
        <v>47</v>
      </c>
      <c r="E41" t="s">
        <v>48</v>
      </c>
      <c r="F41">
        <v>4560</v>
      </c>
      <c r="G41">
        <v>0</v>
      </c>
      <c r="H41">
        <v>4560</v>
      </c>
      <c r="I41">
        <v>4560</v>
      </c>
      <c r="J41">
        <f t="shared" si="0"/>
        <v>13680</v>
      </c>
    </row>
    <row r="42" spans="1:10">
      <c r="A42" t="s">
        <v>154</v>
      </c>
      <c r="B42" t="s">
        <v>46</v>
      </c>
      <c r="C42" s="6" t="s">
        <v>15</v>
      </c>
      <c r="D42" t="s">
        <v>47</v>
      </c>
      <c r="E42" t="s">
        <v>48</v>
      </c>
      <c r="F42">
        <v>3907</v>
      </c>
      <c r="G42">
        <v>0</v>
      </c>
      <c r="H42">
        <v>3907</v>
      </c>
      <c r="I42">
        <v>3907</v>
      </c>
      <c r="J42">
        <f t="shared" si="0"/>
        <v>11721</v>
      </c>
    </row>
    <row r="43" spans="1:10">
      <c r="A43" t="s">
        <v>155</v>
      </c>
      <c r="B43" t="s">
        <v>46</v>
      </c>
      <c r="C43" s="6" t="s">
        <v>15</v>
      </c>
      <c r="D43" t="s">
        <v>47</v>
      </c>
      <c r="E43" t="s">
        <v>48</v>
      </c>
      <c r="F43">
        <v>174</v>
      </c>
      <c r="G43">
        <v>0</v>
      </c>
      <c r="H43">
        <v>1848</v>
      </c>
      <c r="I43">
        <v>7971</v>
      </c>
      <c r="J43">
        <f t="shared" si="0"/>
        <v>9993</v>
      </c>
    </row>
    <row r="44" spans="1:10">
      <c r="A44" t="s">
        <v>156</v>
      </c>
      <c r="B44" t="s">
        <v>46</v>
      </c>
      <c r="C44" s="6" t="s">
        <v>15</v>
      </c>
      <c r="D44" t="s">
        <v>47</v>
      </c>
      <c r="E44" t="s">
        <v>48</v>
      </c>
      <c r="F44">
        <v>441</v>
      </c>
      <c r="G44">
        <v>0</v>
      </c>
      <c r="H44">
        <v>2636</v>
      </c>
      <c r="I44">
        <v>4085</v>
      </c>
      <c r="J44">
        <f t="shared" si="0"/>
        <v>7162</v>
      </c>
    </row>
    <row r="45" spans="1:10">
      <c r="A45" t="s">
        <v>157</v>
      </c>
      <c r="B45" t="s">
        <v>46</v>
      </c>
      <c r="C45" s="6" t="s">
        <v>15</v>
      </c>
      <c r="D45" t="s">
        <v>47</v>
      </c>
      <c r="E45" t="s">
        <v>48</v>
      </c>
      <c r="F45">
        <v>1112</v>
      </c>
      <c r="G45">
        <v>0</v>
      </c>
      <c r="H45">
        <v>1132</v>
      </c>
      <c r="I45">
        <v>4345</v>
      </c>
      <c r="J45">
        <f t="shared" si="0"/>
        <v>6589</v>
      </c>
    </row>
    <row r="46" spans="1:10">
      <c r="A46" t="s">
        <v>158</v>
      </c>
      <c r="B46" t="s">
        <v>46</v>
      </c>
      <c r="C46" s="6" t="s">
        <v>15</v>
      </c>
      <c r="D46" t="s">
        <v>47</v>
      </c>
      <c r="E46" t="s">
        <v>48</v>
      </c>
      <c r="F46">
        <v>137</v>
      </c>
      <c r="G46">
        <v>0</v>
      </c>
      <c r="H46">
        <v>1731</v>
      </c>
      <c r="I46">
        <v>2771</v>
      </c>
      <c r="J46">
        <f t="shared" si="0"/>
        <v>4639</v>
      </c>
    </row>
    <row r="47" spans="1:10">
      <c r="A47" t="s">
        <v>159</v>
      </c>
      <c r="B47" s="6" t="s">
        <v>160</v>
      </c>
      <c r="C47" s="6" t="s">
        <v>15</v>
      </c>
      <c r="D47" s="6" t="s">
        <v>161</v>
      </c>
      <c r="E47" s="6" t="s">
        <v>162</v>
      </c>
      <c r="F47">
        <v>11</v>
      </c>
      <c r="G47">
        <v>0</v>
      </c>
      <c r="H47">
        <v>140</v>
      </c>
      <c r="I47">
        <v>1154</v>
      </c>
      <c r="J47">
        <f t="shared" si="0"/>
        <v>1305</v>
      </c>
    </row>
    <row r="48" spans="1:10">
      <c r="A48" t="s">
        <v>163</v>
      </c>
      <c r="B48" t="s">
        <v>46</v>
      </c>
      <c r="C48" s="6" t="s">
        <v>15</v>
      </c>
      <c r="D48" t="s">
        <v>47</v>
      </c>
      <c r="E48" t="s">
        <v>48</v>
      </c>
      <c r="F48">
        <v>28</v>
      </c>
      <c r="G48">
        <v>0</v>
      </c>
      <c r="H48">
        <v>295</v>
      </c>
      <c r="I48">
        <v>644</v>
      </c>
      <c r="J48">
        <f t="shared" si="0"/>
        <v>967</v>
      </c>
    </row>
    <row r="49" spans="1:10">
      <c r="A49" t="s">
        <v>164</v>
      </c>
      <c r="B49" t="s">
        <v>46</v>
      </c>
      <c r="C49" s="6" t="s">
        <v>15</v>
      </c>
      <c r="D49" t="s">
        <v>47</v>
      </c>
      <c r="E49" t="s">
        <v>48</v>
      </c>
      <c r="F49">
        <v>12</v>
      </c>
      <c r="G49">
        <v>0</v>
      </c>
      <c r="H49">
        <v>260</v>
      </c>
      <c r="I49">
        <v>472</v>
      </c>
      <c r="J49">
        <f t="shared" si="0"/>
        <v>744</v>
      </c>
    </row>
    <row r="50" spans="1:10">
      <c r="A50" t="s">
        <v>165</v>
      </c>
      <c r="B50" t="s">
        <v>46</v>
      </c>
      <c r="C50" s="6" t="s">
        <v>15</v>
      </c>
      <c r="D50" t="s">
        <v>47</v>
      </c>
      <c r="E50" t="s">
        <v>48</v>
      </c>
      <c r="F50">
        <v>77</v>
      </c>
      <c r="G50">
        <v>0</v>
      </c>
      <c r="H50">
        <v>378</v>
      </c>
      <c r="I50">
        <v>246</v>
      </c>
      <c r="J50">
        <f t="shared" si="0"/>
        <v>701</v>
      </c>
    </row>
    <row r="51" spans="1:10">
      <c r="A51" t="s">
        <v>166</v>
      </c>
      <c r="B51" t="s">
        <v>46</v>
      </c>
      <c r="C51" s="6" t="s">
        <v>15</v>
      </c>
      <c r="D51" t="s">
        <v>47</v>
      </c>
      <c r="E51" t="s">
        <v>48</v>
      </c>
      <c r="F51">
        <v>220</v>
      </c>
      <c r="G51">
        <v>0</v>
      </c>
      <c r="H51">
        <v>220</v>
      </c>
      <c r="I51">
        <v>219</v>
      </c>
      <c r="J51">
        <f t="shared" si="0"/>
        <v>659</v>
      </c>
    </row>
    <row r="52" spans="1:10">
      <c r="A52" t="s">
        <v>167</v>
      </c>
      <c r="B52" t="s">
        <v>46</v>
      </c>
      <c r="C52" s="6" t="s">
        <v>15</v>
      </c>
      <c r="D52" t="s">
        <v>47</v>
      </c>
      <c r="E52" t="s">
        <v>48</v>
      </c>
      <c r="F52">
        <v>34</v>
      </c>
      <c r="G52">
        <v>0</v>
      </c>
      <c r="H52">
        <v>50</v>
      </c>
      <c r="I52">
        <v>293</v>
      </c>
      <c r="J52">
        <f t="shared" si="0"/>
        <v>377</v>
      </c>
    </row>
    <row r="53" spans="1:10">
      <c r="A53" t="s">
        <v>168</v>
      </c>
      <c r="B53" t="s">
        <v>46</v>
      </c>
      <c r="C53" s="6" t="s">
        <v>15</v>
      </c>
      <c r="D53" t="s">
        <v>47</v>
      </c>
      <c r="E53" t="s">
        <v>48</v>
      </c>
      <c r="F53">
        <v>7</v>
      </c>
      <c r="G53">
        <v>0</v>
      </c>
      <c r="H53">
        <v>64</v>
      </c>
      <c r="I53">
        <v>221</v>
      </c>
      <c r="J53">
        <f t="shared" si="0"/>
        <v>292</v>
      </c>
    </row>
    <row r="54" spans="1:10">
      <c r="A54" t="s">
        <v>169</v>
      </c>
      <c r="B54" t="s">
        <v>46</v>
      </c>
      <c r="C54" s="6" t="s">
        <v>15</v>
      </c>
      <c r="D54" t="s">
        <v>47</v>
      </c>
      <c r="E54" t="s">
        <v>48</v>
      </c>
      <c r="F54">
        <v>10</v>
      </c>
      <c r="G54">
        <v>0</v>
      </c>
      <c r="H54">
        <v>10</v>
      </c>
      <c r="I54">
        <v>126</v>
      </c>
      <c r="J54">
        <f t="shared" si="0"/>
        <v>146</v>
      </c>
    </row>
    <row r="55" spans="1:10">
      <c r="A55" t="s">
        <v>170</v>
      </c>
      <c r="B55" t="s">
        <v>46</v>
      </c>
      <c r="C55" s="6" t="s">
        <v>15</v>
      </c>
      <c r="D55" t="s">
        <v>47</v>
      </c>
      <c r="E55" t="s">
        <v>48</v>
      </c>
      <c r="F55">
        <v>5</v>
      </c>
      <c r="G55">
        <v>5</v>
      </c>
      <c r="H55">
        <v>0</v>
      </c>
      <c r="I55">
        <v>0</v>
      </c>
      <c r="J55">
        <f t="shared" si="0"/>
        <v>10</v>
      </c>
    </row>
    <row r="56" spans="1:10">
      <c r="A56" t="s">
        <v>171</v>
      </c>
      <c r="B56" t="s">
        <v>46</v>
      </c>
      <c r="C56" s="6" t="s">
        <v>15</v>
      </c>
      <c r="D56" t="s">
        <v>47</v>
      </c>
      <c r="E56" t="s">
        <v>48</v>
      </c>
      <c r="F56">
        <v>0</v>
      </c>
      <c r="G56">
        <v>0</v>
      </c>
      <c r="H56">
        <v>0</v>
      </c>
      <c r="I56">
        <v>0</v>
      </c>
    </row>
    <row r="57" spans="1:10">
      <c r="A57" t="s">
        <v>172</v>
      </c>
      <c r="B57" t="s">
        <v>46</v>
      </c>
      <c r="C57" s="6" t="s">
        <v>15</v>
      </c>
      <c r="D57" t="s">
        <v>47</v>
      </c>
      <c r="E57" t="s">
        <v>48</v>
      </c>
      <c r="F57">
        <v>0</v>
      </c>
      <c r="G57">
        <v>0</v>
      </c>
      <c r="H57">
        <v>0</v>
      </c>
      <c r="I57">
        <v>0</v>
      </c>
    </row>
    <row r="58" spans="1:10">
      <c r="A58" t="s">
        <v>173</v>
      </c>
      <c r="B58" t="s">
        <v>46</v>
      </c>
      <c r="C58" s="6" t="s">
        <v>15</v>
      </c>
      <c r="D58" t="s">
        <v>47</v>
      </c>
      <c r="E58" t="s">
        <v>48</v>
      </c>
      <c r="F58">
        <v>0</v>
      </c>
      <c r="G58">
        <v>0</v>
      </c>
      <c r="H58">
        <v>0</v>
      </c>
      <c r="I58">
        <v>0</v>
      </c>
    </row>
    <row r="59" spans="1:10">
      <c r="A59" t="s">
        <v>174</v>
      </c>
      <c r="B59" t="s">
        <v>46</v>
      </c>
      <c r="C59" s="6" t="s">
        <v>15</v>
      </c>
      <c r="D59" t="s">
        <v>47</v>
      </c>
      <c r="E59" t="s">
        <v>48</v>
      </c>
      <c r="F59">
        <v>0</v>
      </c>
      <c r="G59">
        <v>0</v>
      </c>
      <c r="H59">
        <v>0</v>
      </c>
      <c r="I59">
        <v>0</v>
      </c>
    </row>
    <row r="60" spans="1:10">
      <c r="A60" t="s">
        <v>175</v>
      </c>
      <c r="B60" t="s">
        <v>46</v>
      </c>
      <c r="C60" s="6" t="s">
        <v>15</v>
      </c>
      <c r="D60" t="s">
        <v>47</v>
      </c>
      <c r="E60" t="s">
        <v>48</v>
      </c>
      <c r="F60">
        <v>0</v>
      </c>
      <c r="G60">
        <v>0</v>
      </c>
      <c r="H60">
        <v>0</v>
      </c>
      <c r="I60">
        <v>0</v>
      </c>
    </row>
    <row r="61" spans="1:10">
      <c r="A61" t="s">
        <v>176</v>
      </c>
      <c r="B61" t="s">
        <v>46</v>
      </c>
      <c r="C61" s="6" t="s">
        <v>15</v>
      </c>
      <c r="D61" t="s">
        <v>47</v>
      </c>
      <c r="E61" t="s">
        <v>48</v>
      </c>
      <c r="F61">
        <v>0</v>
      </c>
      <c r="G61">
        <v>0</v>
      </c>
      <c r="H61">
        <v>0</v>
      </c>
      <c r="I61">
        <v>0</v>
      </c>
    </row>
    <row r="62" spans="1:10">
      <c r="A62" t="s">
        <v>177</v>
      </c>
      <c r="B62" t="s">
        <v>46</v>
      </c>
      <c r="C62" s="6" t="s">
        <v>15</v>
      </c>
      <c r="D62" t="s">
        <v>47</v>
      </c>
      <c r="E62" t="s">
        <v>48</v>
      </c>
      <c r="F62">
        <v>0</v>
      </c>
      <c r="G62">
        <v>0</v>
      </c>
      <c r="H62">
        <v>0</v>
      </c>
      <c r="I62">
        <v>0</v>
      </c>
    </row>
    <row r="63" spans="1:10">
      <c r="A63" t="s">
        <v>178</v>
      </c>
      <c r="B63" t="s">
        <v>46</v>
      </c>
      <c r="C63" s="6" t="s">
        <v>15</v>
      </c>
      <c r="D63" t="s">
        <v>47</v>
      </c>
      <c r="E63" t="s">
        <v>48</v>
      </c>
      <c r="F63">
        <v>0</v>
      </c>
      <c r="G63">
        <v>0</v>
      </c>
      <c r="H63">
        <v>0</v>
      </c>
      <c r="I63">
        <v>0</v>
      </c>
    </row>
    <row r="64" spans="1:10">
      <c r="A64" t="s">
        <v>179</v>
      </c>
      <c r="B64" t="s">
        <v>46</v>
      </c>
      <c r="C64" s="6" t="s">
        <v>15</v>
      </c>
      <c r="D64" t="s">
        <v>47</v>
      </c>
      <c r="E64" t="s">
        <v>48</v>
      </c>
      <c r="F64">
        <v>0</v>
      </c>
      <c r="G64">
        <v>0</v>
      </c>
      <c r="H64">
        <v>0</v>
      </c>
      <c r="I64">
        <v>0</v>
      </c>
    </row>
    <row r="65" spans="1:9">
      <c r="A65" t="s">
        <v>180</v>
      </c>
      <c r="B65" t="s">
        <v>46</v>
      </c>
      <c r="C65" s="6" t="s">
        <v>15</v>
      </c>
      <c r="D65" t="s">
        <v>47</v>
      </c>
      <c r="E65" t="s">
        <v>48</v>
      </c>
      <c r="F65">
        <v>0</v>
      </c>
      <c r="G65">
        <v>0</v>
      </c>
      <c r="H65">
        <v>0</v>
      </c>
      <c r="I65">
        <v>0</v>
      </c>
    </row>
    <row r="66" spans="1:9">
      <c r="A66" t="s">
        <v>181</v>
      </c>
      <c r="B66" t="s">
        <v>46</v>
      </c>
      <c r="C66" s="6" t="s">
        <v>15</v>
      </c>
      <c r="D66" t="s">
        <v>47</v>
      </c>
      <c r="E66" t="s">
        <v>48</v>
      </c>
      <c r="F66">
        <v>0</v>
      </c>
      <c r="G66">
        <v>0</v>
      </c>
      <c r="H66">
        <v>0</v>
      </c>
      <c r="I66">
        <v>0</v>
      </c>
    </row>
    <row r="67" spans="1:9">
      <c r="A67" t="s">
        <v>182</v>
      </c>
      <c r="B67" t="s">
        <v>46</v>
      </c>
      <c r="C67" s="6" t="s">
        <v>15</v>
      </c>
      <c r="D67" t="s">
        <v>47</v>
      </c>
      <c r="E67" t="s">
        <v>48</v>
      </c>
      <c r="F67">
        <v>0</v>
      </c>
      <c r="G67">
        <v>0</v>
      </c>
      <c r="H67">
        <v>0</v>
      </c>
      <c r="I67">
        <v>0</v>
      </c>
    </row>
    <row r="68" spans="1:9">
      <c r="A68" t="s">
        <v>183</v>
      </c>
      <c r="B68" t="s">
        <v>46</v>
      </c>
      <c r="C68" s="6" t="s">
        <v>15</v>
      </c>
      <c r="D68" t="s">
        <v>47</v>
      </c>
      <c r="E68" t="s">
        <v>48</v>
      </c>
      <c r="F68">
        <v>0</v>
      </c>
      <c r="G68">
        <v>0</v>
      </c>
      <c r="H68">
        <v>0</v>
      </c>
      <c r="I68">
        <v>0</v>
      </c>
    </row>
    <row r="69" spans="1:9">
      <c r="A69" t="s">
        <v>184</v>
      </c>
      <c r="B69" t="s">
        <v>46</v>
      </c>
      <c r="C69" s="6" t="s">
        <v>15</v>
      </c>
      <c r="D69" t="s">
        <v>47</v>
      </c>
      <c r="E69" t="s">
        <v>48</v>
      </c>
      <c r="F69">
        <v>0</v>
      </c>
      <c r="G69">
        <v>0</v>
      </c>
      <c r="H69">
        <v>0</v>
      </c>
      <c r="I69">
        <v>0</v>
      </c>
    </row>
    <row r="70" spans="1:9">
      <c r="A70" t="s">
        <v>185</v>
      </c>
      <c r="B70" t="s">
        <v>46</v>
      </c>
      <c r="C70" s="6" t="s">
        <v>15</v>
      </c>
      <c r="D70" t="s">
        <v>47</v>
      </c>
      <c r="E70" t="s">
        <v>48</v>
      </c>
      <c r="F70">
        <v>0</v>
      </c>
      <c r="G70">
        <v>0</v>
      </c>
      <c r="H70">
        <v>0</v>
      </c>
      <c r="I70">
        <v>0</v>
      </c>
    </row>
    <row r="71" spans="1:9">
      <c r="A71" t="s">
        <v>186</v>
      </c>
      <c r="B71" t="s">
        <v>46</v>
      </c>
      <c r="C71" s="6" t="s">
        <v>15</v>
      </c>
      <c r="D71" t="s">
        <v>47</v>
      </c>
      <c r="E71" t="s">
        <v>48</v>
      </c>
      <c r="F71">
        <v>0</v>
      </c>
      <c r="G71">
        <v>0</v>
      </c>
      <c r="H71">
        <v>0</v>
      </c>
      <c r="I71">
        <v>0</v>
      </c>
    </row>
    <row r="72" spans="1:9">
      <c r="A72" t="s">
        <v>187</v>
      </c>
      <c r="B72" t="s">
        <v>46</v>
      </c>
      <c r="C72" s="6" t="s">
        <v>15</v>
      </c>
      <c r="D72" t="s">
        <v>47</v>
      </c>
      <c r="E72" t="s">
        <v>48</v>
      </c>
      <c r="F72">
        <v>0</v>
      </c>
      <c r="G72">
        <v>0</v>
      </c>
      <c r="H72">
        <v>0</v>
      </c>
      <c r="I72">
        <v>0</v>
      </c>
    </row>
    <row r="73" spans="1:9">
      <c r="A73" t="s">
        <v>188</v>
      </c>
      <c r="B73" t="s">
        <v>46</v>
      </c>
      <c r="C73" s="6" t="s">
        <v>15</v>
      </c>
      <c r="D73" t="s">
        <v>47</v>
      </c>
      <c r="E73" t="s">
        <v>48</v>
      </c>
      <c r="F73">
        <v>0</v>
      </c>
      <c r="G73">
        <v>0</v>
      </c>
      <c r="H73">
        <v>0</v>
      </c>
      <c r="I73">
        <v>0</v>
      </c>
    </row>
    <row r="74" spans="1:9">
      <c r="A74" t="s">
        <v>189</v>
      </c>
      <c r="B74" t="s">
        <v>46</v>
      </c>
      <c r="C74" s="6" t="s">
        <v>15</v>
      </c>
      <c r="D74" t="s">
        <v>47</v>
      </c>
      <c r="E74" t="s">
        <v>48</v>
      </c>
      <c r="F74">
        <v>0</v>
      </c>
      <c r="G74">
        <v>0</v>
      </c>
      <c r="H74">
        <v>0</v>
      </c>
      <c r="I74">
        <v>0</v>
      </c>
    </row>
    <row r="75" spans="1:9">
      <c r="A75" t="s">
        <v>190</v>
      </c>
      <c r="B75" t="s">
        <v>46</v>
      </c>
      <c r="C75" s="6" t="s">
        <v>15</v>
      </c>
      <c r="D75" t="s">
        <v>47</v>
      </c>
      <c r="E75" t="s">
        <v>48</v>
      </c>
      <c r="F75">
        <v>0</v>
      </c>
      <c r="G75">
        <v>0</v>
      </c>
      <c r="H75">
        <v>0</v>
      </c>
      <c r="I75">
        <v>0</v>
      </c>
    </row>
    <row r="76" spans="1:9">
      <c r="A76" t="s">
        <v>191</v>
      </c>
      <c r="B76" t="s">
        <v>46</v>
      </c>
      <c r="C76" s="6" t="s">
        <v>15</v>
      </c>
      <c r="D76" t="s">
        <v>47</v>
      </c>
      <c r="E76" t="s">
        <v>48</v>
      </c>
      <c r="F76">
        <v>0</v>
      </c>
      <c r="G76">
        <v>0</v>
      </c>
      <c r="H76">
        <v>0</v>
      </c>
      <c r="I76">
        <v>0</v>
      </c>
    </row>
    <row r="77" spans="1:9">
      <c r="A77" t="s">
        <v>192</v>
      </c>
      <c r="B77" t="s">
        <v>46</v>
      </c>
      <c r="C77" s="6" t="s">
        <v>15</v>
      </c>
      <c r="D77" t="s">
        <v>47</v>
      </c>
      <c r="E77" t="s">
        <v>48</v>
      </c>
      <c r="F77">
        <v>0</v>
      </c>
      <c r="G77">
        <v>0</v>
      </c>
      <c r="H77">
        <v>0</v>
      </c>
      <c r="I77">
        <v>0</v>
      </c>
    </row>
    <row r="78" spans="1:9">
      <c r="A78" t="s">
        <v>193</v>
      </c>
      <c r="B78" t="s">
        <v>46</v>
      </c>
      <c r="C78" s="6" t="s">
        <v>15</v>
      </c>
      <c r="D78" t="s">
        <v>47</v>
      </c>
      <c r="E78" t="s">
        <v>48</v>
      </c>
      <c r="F78">
        <v>0</v>
      </c>
      <c r="G78">
        <v>0</v>
      </c>
      <c r="H78">
        <v>0</v>
      </c>
      <c r="I78">
        <v>0</v>
      </c>
    </row>
    <row r="79" spans="1:9">
      <c r="A79" t="s">
        <v>194</v>
      </c>
      <c r="B79" t="s">
        <v>46</v>
      </c>
      <c r="C79" s="6" t="s">
        <v>15</v>
      </c>
      <c r="D79" t="s">
        <v>47</v>
      </c>
      <c r="E79" t="s">
        <v>48</v>
      </c>
      <c r="F79">
        <v>0</v>
      </c>
      <c r="G79">
        <v>0</v>
      </c>
      <c r="H79">
        <v>0</v>
      </c>
      <c r="I79">
        <v>0</v>
      </c>
    </row>
    <row r="80" spans="1:9">
      <c r="A80" t="s">
        <v>195</v>
      </c>
      <c r="B80" t="s">
        <v>46</v>
      </c>
      <c r="C80" s="6" t="s">
        <v>15</v>
      </c>
      <c r="D80" t="s">
        <v>47</v>
      </c>
      <c r="E80" t="s">
        <v>48</v>
      </c>
      <c r="F80">
        <v>0</v>
      </c>
      <c r="G80">
        <v>0</v>
      </c>
      <c r="H80">
        <v>0</v>
      </c>
      <c r="I80">
        <v>0</v>
      </c>
    </row>
    <row r="81" spans="1:9">
      <c r="A81" t="s">
        <v>196</v>
      </c>
      <c r="B81" t="s">
        <v>46</v>
      </c>
      <c r="C81" s="6" t="s">
        <v>15</v>
      </c>
      <c r="D81" t="s">
        <v>47</v>
      </c>
      <c r="E81" t="s">
        <v>48</v>
      </c>
      <c r="F81">
        <v>0</v>
      </c>
      <c r="G81">
        <v>0</v>
      </c>
      <c r="H81">
        <v>0</v>
      </c>
      <c r="I81">
        <v>0</v>
      </c>
    </row>
    <row r="82" spans="1:9">
      <c r="A82" t="s">
        <v>197</v>
      </c>
      <c r="B82" t="s">
        <v>46</v>
      </c>
      <c r="C82" s="6" t="s">
        <v>15</v>
      </c>
      <c r="D82" t="s">
        <v>47</v>
      </c>
      <c r="E82" t="s">
        <v>48</v>
      </c>
      <c r="F82">
        <v>0</v>
      </c>
      <c r="G82">
        <v>0</v>
      </c>
      <c r="H82">
        <v>0</v>
      </c>
      <c r="I82">
        <v>0</v>
      </c>
    </row>
    <row r="83" spans="1:9">
      <c r="A83" t="s">
        <v>198</v>
      </c>
      <c r="B83" t="s">
        <v>46</v>
      </c>
      <c r="C83" s="6" t="s">
        <v>15</v>
      </c>
      <c r="D83" t="s">
        <v>47</v>
      </c>
      <c r="E83" t="s">
        <v>48</v>
      </c>
      <c r="F83">
        <v>0</v>
      </c>
      <c r="G83">
        <v>0</v>
      </c>
      <c r="H83">
        <v>0</v>
      </c>
      <c r="I83">
        <v>0</v>
      </c>
    </row>
    <row r="84" spans="1:9">
      <c r="A84" t="s">
        <v>199</v>
      </c>
      <c r="B84" t="s">
        <v>46</v>
      </c>
      <c r="C84" s="6" t="s">
        <v>15</v>
      </c>
      <c r="D84" t="s">
        <v>47</v>
      </c>
      <c r="E84" t="s">
        <v>48</v>
      </c>
      <c r="F84">
        <v>0</v>
      </c>
      <c r="G84">
        <v>0</v>
      </c>
      <c r="H84">
        <v>0</v>
      </c>
      <c r="I84">
        <v>0</v>
      </c>
    </row>
    <row r="85" spans="1:9">
      <c r="A85" t="s">
        <v>200</v>
      </c>
      <c r="B85" t="s">
        <v>46</v>
      </c>
      <c r="C85" s="6" t="s">
        <v>15</v>
      </c>
      <c r="D85" t="s">
        <v>47</v>
      </c>
      <c r="E85" t="s">
        <v>48</v>
      </c>
      <c r="F85">
        <v>0</v>
      </c>
      <c r="G85">
        <v>0</v>
      </c>
      <c r="H85">
        <v>0</v>
      </c>
      <c r="I85">
        <v>0</v>
      </c>
    </row>
    <row r="86" spans="1:9">
      <c r="A86" t="s">
        <v>201</v>
      </c>
      <c r="B86" t="s">
        <v>46</v>
      </c>
      <c r="C86" s="6" t="s">
        <v>15</v>
      </c>
      <c r="D86" t="s">
        <v>47</v>
      </c>
      <c r="E86" t="s">
        <v>48</v>
      </c>
      <c r="F86">
        <v>0</v>
      </c>
      <c r="G86">
        <v>0</v>
      </c>
      <c r="H86">
        <v>0</v>
      </c>
      <c r="I86">
        <v>0</v>
      </c>
    </row>
    <row r="87" spans="1:9">
      <c r="A87" t="s">
        <v>202</v>
      </c>
      <c r="B87" t="s">
        <v>46</v>
      </c>
      <c r="C87" s="6" t="s">
        <v>15</v>
      </c>
      <c r="D87" t="s">
        <v>47</v>
      </c>
      <c r="E87" t="s">
        <v>48</v>
      </c>
      <c r="F87">
        <v>0</v>
      </c>
      <c r="G87">
        <v>0</v>
      </c>
      <c r="H87">
        <v>0</v>
      </c>
      <c r="I87">
        <v>0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"/>
  <sheetViews>
    <sheetView topLeftCell="R6" workbookViewId="0">
      <selection activeCell="E1" sqref="E1:E36"/>
    </sheetView>
  </sheetViews>
  <sheetFormatPr defaultColWidth="9" defaultRowHeight="13.5" outlineLevelCol="4"/>
  <cols>
    <col min="1" max="1" width="10.375"/>
    <col min="5" max="5" width="10.375"/>
  </cols>
  <sheetData>
    <row r="1" spans="1:5">
      <c r="A1">
        <v>88022360</v>
      </c>
      <c r="E1">
        <v>64225013</v>
      </c>
    </row>
    <row r="2" spans="1:5">
      <c r="A2">
        <v>30755123</v>
      </c>
      <c r="E2">
        <v>14561746</v>
      </c>
    </row>
    <row r="3" spans="1:5">
      <c r="A3">
        <v>8731280</v>
      </c>
      <c r="E3">
        <v>9998947</v>
      </c>
    </row>
    <row r="4" spans="1:5">
      <c r="A4">
        <v>3593997</v>
      </c>
      <c r="E4">
        <v>9708234</v>
      </c>
    </row>
    <row r="5" spans="1:5">
      <c r="A5">
        <v>2733289</v>
      </c>
      <c r="E5">
        <v>7488436</v>
      </c>
    </row>
    <row r="6" spans="1:5">
      <c r="A6">
        <v>1671774</v>
      </c>
      <c r="E6">
        <v>3447941</v>
      </c>
    </row>
    <row r="7" spans="1:5">
      <c r="A7">
        <v>609263</v>
      </c>
      <c r="E7">
        <v>2624598</v>
      </c>
    </row>
    <row r="8" spans="1:5">
      <c r="A8">
        <v>360848</v>
      </c>
      <c r="E8">
        <v>1159822</v>
      </c>
    </row>
    <row r="9" spans="1:5">
      <c r="A9">
        <v>281251</v>
      </c>
      <c r="E9">
        <v>592630</v>
      </c>
    </row>
    <row r="10" spans="1:5">
      <c r="A10">
        <v>150151</v>
      </c>
      <c r="E10">
        <v>549748</v>
      </c>
    </row>
    <row r="11" spans="1:5">
      <c r="A11">
        <v>40578</v>
      </c>
      <c r="E11">
        <v>402776</v>
      </c>
    </row>
    <row r="12" spans="1:5">
      <c r="A12">
        <v>33811</v>
      </c>
      <c r="E12">
        <v>298160</v>
      </c>
    </row>
    <row r="13" spans="1:5">
      <c r="A13">
        <v>17174</v>
      </c>
      <c r="E13">
        <v>203327</v>
      </c>
    </row>
    <row r="14" spans="1:5">
      <c r="A14">
        <v>17050</v>
      </c>
      <c r="E14">
        <v>176512</v>
      </c>
    </row>
    <row r="15" spans="1:5">
      <c r="A15">
        <v>16960</v>
      </c>
      <c r="E15">
        <v>144919</v>
      </c>
    </row>
    <row r="16" spans="1:5">
      <c r="A16">
        <f>SUM(A1:A15)</f>
        <v>137034909</v>
      </c>
      <c r="E16">
        <v>54721</v>
      </c>
    </row>
    <row r="17" spans="5:5">
      <c r="E17">
        <v>47563</v>
      </c>
    </row>
    <row r="18" spans="5:5">
      <c r="E18">
        <v>34901</v>
      </c>
    </row>
    <row r="19" spans="5:5">
      <c r="E19">
        <v>33932</v>
      </c>
    </row>
    <row r="20" spans="5:5">
      <c r="E20">
        <v>21413</v>
      </c>
    </row>
    <row r="21" spans="5:5">
      <c r="E21">
        <v>13680</v>
      </c>
    </row>
    <row r="22" spans="5:5">
      <c r="E22">
        <v>11721</v>
      </c>
    </row>
    <row r="23" spans="5:5">
      <c r="E23">
        <v>9993</v>
      </c>
    </row>
    <row r="24" spans="5:5">
      <c r="E24">
        <v>7162</v>
      </c>
    </row>
    <row r="25" spans="5:5">
      <c r="E25">
        <v>6589</v>
      </c>
    </row>
    <row r="26" spans="5:5">
      <c r="E26">
        <v>4639</v>
      </c>
    </row>
    <row r="27" spans="5:5">
      <c r="E27">
        <v>1305</v>
      </c>
    </row>
    <row r="28" spans="5:5">
      <c r="E28">
        <v>967</v>
      </c>
    </row>
    <row r="29" spans="5:5">
      <c r="E29">
        <v>744</v>
      </c>
    </row>
    <row r="30" spans="5:5">
      <c r="E30">
        <v>701</v>
      </c>
    </row>
    <row r="31" spans="5:5">
      <c r="E31">
        <v>659</v>
      </c>
    </row>
    <row r="32" spans="5:5">
      <c r="E32">
        <v>377</v>
      </c>
    </row>
    <row r="33" spans="5:5">
      <c r="E33">
        <v>292</v>
      </c>
    </row>
    <row r="34" spans="5:5">
      <c r="E34">
        <v>146</v>
      </c>
    </row>
    <row r="35" spans="5:5">
      <c r="E35">
        <v>10</v>
      </c>
    </row>
    <row r="36" spans="5:5">
      <c r="E36">
        <f>SUM(E1:E35)</f>
        <v>115834324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5"/>
  <sheetViews>
    <sheetView topLeftCell="Q6" workbookViewId="0">
      <selection activeCell="P6" sqref="P6:P7"/>
    </sheetView>
  </sheetViews>
  <sheetFormatPr defaultColWidth="9" defaultRowHeight="13.5" outlineLevelCol="4"/>
  <cols>
    <col min="1" max="1" width="9.375"/>
    <col min="5" max="5" width="9.375"/>
  </cols>
  <sheetData>
    <row r="1" spans="1:5">
      <c r="A1">
        <v>30755123</v>
      </c>
      <c r="E1">
        <f t="shared" ref="E1:E35" si="0">SUM(A1:D1)</f>
        <v>30755123</v>
      </c>
    </row>
    <row r="2" spans="1:5">
      <c r="A2">
        <v>8731280</v>
      </c>
      <c r="E2">
        <f t="shared" si="0"/>
        <v>8731280</v>
      </c>
    </row>
    <row r="3" spans="1:5">
      <c r="A3">
        <v>3593997</v>
      </c>
      <c r="E3">
        <f t="shared" si="0"/>
        <v>3593997</v>
      </c>
    </row>
    <row r="4" spans="1:5">
      <c r="A4">
        <v>2733289</v>
      </c>
      <c r="E4">
        <f t="shared" si="0"/>
        <v>2733289</v>
      </c>
    </row>
    <row r="5" spans="1:5">
      <c r="A5">
        <v>1671774</v>
      </c>
      <c r="E5">
        <f t="shared" si="0"/>
        <v>1671774</v>
      </c>
    </row>
    <row r="6" spans="1:5">
      <c r="A6">
        <v>609263</v>
      </c>
      <c r="E6">
        <f t="shared" si="0"/>
        <v>609263</v>
      </c>
    </row>
    <row r="7" spans="1:5">
      <c r="A7">
        <v>360848</v>
      </c>
      <c r="E7">
        <f t="shared" si="0"/>
        <v>360848</v>
      </c>
    </row>
    <row r="8" spans="1:5">
      <c r="A8">
        <v>281251</v>
      </c>
      <c r="E8">
        <f t="shared" si="0"/>
        <v>281251</v>
      </c>
    </row>
    <row r="9" spans="1:5">
      <c r="A9">
        <v>150151</v>
      </c>
      <c r="E9">
        <f t="shared" si="0"/>
        <v>150151</v>
      </c>
    </row>
    <row r="10" spans="1:5">
      <c r="A10">
        <v>40578</v>
      </c>
      <c r="E10">
        <f t="shared" si="0"/>
        <v>40578</v>
      </c>
    </row>
    <row r="11" spans="1:5">
      <c r="A11">
        <v>33811</v>
      </c>
      <c r="E11">
        <f t="shared" si="0"/>
        <v>33811</v>
      </c>
    </row>
    <row r="12" spans="1:5">
      <c r="A12">
        <v>17174</v>
      </c>
      <c r="E12">
        <f t="shared" si="0"/>
        <v>17174</v>
      </c>
    </row>
    <row r="13" spans="1:5">
      <c r="A13">
        <v>17050</v>
      </c>
      <c r="E13">
        <f t="shared" si="0"/>
        <v>17050</v>
      </c>
    </row>
    <row r="14" spans="1:5">
      <c r="A14">
        <v>16960</v>
      </c>
      <c r="E14">
        <f t="shared" si="0"/>
        <v>16960</v>
      </c>
    </row>
    <row r="15" spans="1:5">
      <c r="A15">
        <f>SUM(A1:A14)</f>
        <v>49012549</v>
      </c>
      <c r="E15">
        <f t="shared" si="0"/>
        <v>49012549</v>
      </c>
    </row>
    <row r="16" spans="1:5">
      <c r="E16">
        <f t="shared" si="0"/>
        <v>0</v>
      </c>
    </row>
    <row r="17" spans="5:5">
      <c r="E17">
        <f t="shared" si="0"/>
        <v>0</v>
      </c>
    </row>
    <row r="18" spans="5:5">
      <c r="E18">
        <f t="shared" si="0"/>
        <v>0</v>
      </c>
    </row>
    <row r="19" spans="5:5">
      <c r="E19">
        <f t="shared" si="0"/>
        <v>0</v>
      </c>
    </row>
    <row r="20" spans="5:5">
      <c r="E20">
        <f t="shared" si="0"/>
        <v>0</v>
      </c>
    </row>
    <row r="21" spans="5:5">
      <c r="E21">
        <f t="shared" si="0"/>
        <v>0</v>
      </c>
    </row>
    <row r="22" spans="5:5">
      <c r="E22">
        <f t="shared" si="0"/>
        <v>0</v>
      </c>
    </row>
    <row r="23" spans="5:5">
      <c r="E23">
        <f t="shared" si="0"/>
        <v>0</v>
      </c>
    </row>
    <row r="24" spans="5:5">
      <c r="E24">
        <f t="shared" si="0"/>
        <v>0</v>
      </c>
    </row>
    <row r="25" spans="5:5">
      <c r="E25">
        <f t="shared" si="0"/>
        <v>0</v>
      </c>
    </row>
    <row r="26" spans="5:5">
      <c r="E26">
        <f t="shared" si="0"/>
        <v>0</v>
      </c>
    </row>
    <row r="27" spans="5:5">
      <c r="E27">
        <f t="shared" si="0"/>
        <v>0</v>
      </c>
    </row>
    <row r="28" spans="5:5">
      <c r="E28">
        <f t="shared" si="0"/>
        <v>0</v>
      </c>
    </row>
    <row r="29" spans="5:5">
      <c r="E29">
        <f t="shared" si="0"/>
        <v>0</v>
      </c>
    </row>
    <row r="30" spans="5:5">
      <c r="E30">
        <f t="shared" si="0"/>
        <v>0</v>
      </c>
    </row>
    <row r="31" spans="5:5">
      <c r="E31">
        <f t="shared" si="0"/>
        <v>0</v>
      </c>
    </row>
    <row r="32" spans="5:5">
      <c r="E32">
        <f t="shared" si="0"/>
        <v>0</v>
      </c>
    </row>
    <row r="33" spans="5:5">
      <c r="E33">
        <f t="shared" si="0"/>
        <v>0</v>
      </c>
    </row>
    <row r="34" spans="5:5">
      <c r="E34">
        <f t="shared" si="0"/>
        <v>0</v>
      </c>
    </row>
    <row r="35" spans="5:5">
      <c r="E35">
        <f t="shared" si="0"/>
        <v>0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6"/>
  <sheetViews>
    <sheetView workbookViewId="0">
      <selection activeCell="A1" sqref="A1"/>
    </sheetView>
  </sheetViews>
  <sheetFormatPr defaultColWidth="9" defaultRowHeight="13.5"/>
  <sheetData>
    <row r="1" spans="1:1">
      <c r="A1" t="s">
        <v>39</v>
      </c>
    </row>
    <row r="2" spans="1:1">
      <c r="A2" t="s">
        <v>51</v>
      </c>
    </row>
    <row r="3" spans="1:1">
      <c r="A3" t="s">
        <v>64</v>
      </c>
    </row>
    <row r="4" spans="1:1">
      <c r="A4" t="s">
        <v>72</v>
      </c>
    </row>
    <row r="5" spans="1:1">
      <c r="A5" t="s">
        <v>80</v>
      </c>
    </row>
    <row r="6" spans="1:1">
      <c r="A6" t="s">
        <v>88</v>
      </c>
    </row>
    <row r="7" spans="1:1">
      <c r="A7" t="s">
        <v>96</v>
      </c>
    </row>
    <row r="8" spans="1:1">
      <c r="A8" t="s">
        <v>109</v>
      </c>
    </row>
    <row r="9" spans="1:1">
      <c r="A9" t="s">
        <v>114</v>
      </c>
    </row>
    <row r="10" spans="1:1">
      <c r="A10" t="s">
        <v>123</v>
      </c>
    </row>
    <row r="11" spans="1:1">
      <c r="A11" t="s">
        <v>130</v>
      </c>
    </row>
    <row r="12" spans="1:1">
      <c r="A12" t="s">
        <v>136</v>
      </c>
    </row>
    <row r="13" spans="1:1">
      <c r="A13" t="s">
        <v>141</v>
      </c>
    </row>
    <row r="14" spans="1:1">
      <c r="A14" t="s">
        <v>145</v>
      </c>
    </row>
    <row r="15" spans="1:1">
      <c r="A15" t="s">
        <v>149</v>
      </c>
    </row>
    <row r="16" spans="1:1">
      <c r="A16" s="1" t="str" cm="1">
        <f t="array" ref="A16">_xlfn.TEXTJOIN(",",TRUE,""""&amp;A1:A15&amp;"""")</f>
        <v>"g-dpm","g-rcs","mplm","g-qms","g-sotc","g-fmea","kmp","g-itrdm-sj","t-mcd","kuka_ai_assistant","gtrd","ihr_train","gems","patent_search","umu"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autofilters xmlns="https://web.wps.cn/et/2018/main">
  <sheetItem sheetStid="1">
    <filterData filterID="WSLWXVNODDCGWZKM-dc-appfile:yutao64"/>
    <filterData filterID="WSLWXVNODDCGWZKM-dc-appfile:chenqh114"/>
  </sheetItem>
</autofilters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  <woSheetProps sheetStid="7" interlineOnOff="0" interlineColor="0" isDbSheet="0" isDashBoardSheet="0" isDbDashBoardSheet="0" isFlexPaperSheet="0">
      <cellprotection/>
      <appEtDbRelations/>
    </woSheetProps>
    <woSheetProps sheetStid="9" interlineOnOff="0" interlineColor="0" isDbSheet="0" isDashBoardSheet="0" isDbDashBoardSheet="0" isFlexPaperSheet="0">
      <cellprotection/>
      <appEtDbRelations/>
    </woSheetProps>
  </woSheetsProps>
  <woBookProps>
    <bookSettings fileId="WSLWXVNODDCGWZKM-dc-appfile:367182647771136" isFilterShared="0" woEtMtcEnabled="0" coreConquerUserId="WSLWXVNODDCGWZKM-dc-appfile:yutao64" isAutoUpdatePaused="0" filterType="user" isMergeTasksAutoUpdate="0" isInserPicAsAttachment="0" supportDbFmlaDisp="0"/>
  </woBookProps>
</woProps>
</file>

<file path=customXml/item3.xml><?xml version="1.0" encoding="utf-8"?>
<pixelators xmlns="https://web.wps.cn/et/2018/main" xmlns:s="http://schemas.openxmlformats.org/spreadsheetml/2006/main">
  <pixelatorList sheetStid="1"/>
  <pixelatorList sheetStid="4"/>
  <pixelatorList sheetStid="5"/>
  <pixelatorList sheetStid="7"/>
  <pixelatorList sheetStid="9"/>
  <pixelatorList sheetStid="10"/>
</pixelators>
</file>

<file path=customXml/itemProps1.xml><?xml version="1.0" encoding="utf-8"?>
<ds:datastoreItem xmlns:ds="http://schemas.openxmlformats.org/officeDocument/2006/customXml" ds:itemID="{D5662047-3127-477A-AC3A-1D340467FB4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WWO_wpscloud_20260129102245-ca963948fa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Sheet1 (2)</vt:lpstr>
      <vt:lpstr>Sheet3</vt:lpstr>
      <vt:lpstr>Sheet4</vt:lpstr>
      <vt:lpstr>Sheet5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liangzd</dc:creator>
  <cp:lastModifiedBy>Liang Zidi</cp:lastModifiedBy>
  <dcterms:created xsi:type="dcterms:W3CDTF">2026-03-13T18:01:00Z</dcterms:created>
  <dcterms:modified xsi:type="dcterms:W3CDTF">2026-03-13T11:04:00Z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8EBFE5E1C7E1ECB28535AA693735C667_41</vt:lpwstr>
  </property>
  <property fmtid="{D5CDD505-2E9C-101B-9397-08002B2CF9AE}" pid="3" name="KSOProductBuildVer">
    <vt:lpwstr>2052-12.9.0.24791</vt:lpwstr>
  </property>
  <property fmtid="{D5CDD505-2E9C-101B-9397-08002B2CF9AE}" pid="4" name="CalculationRule">
    <vt:i4>0</vt:i4>
  </property>
</Properties>
</file>